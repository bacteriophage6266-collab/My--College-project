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enario Data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Submission Guide" sheetId="5" state="visible" r:id="rId5"/>
  </sheets>
  <definedNames>
    <definedName name="_xlnm._FilterDatabase" localSheetId="1" hidden="1">'Scenario Data'!$A$1:$U$41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%&quot;"/>
    <numFmt numFmtId="165" formatCode="$#,##0.0"/>
    <numFmt numFmtId="166" formatCode="0.0"/>
    <numFmt numFmtId="167" formatCode="$#,##0.00"/>
    <numFmt numFmtId="168" formatCode="0.00&quot;%&quot;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i val="1"/>
      <color rgb="00666666"/>
      <sz val="10"/>
    </font>
    <font>
      <b val="1"/>
      <color rgb="00FFFFFF"/>
      <sz val="10"/>
    </font>
    <font>
      <b val="1"/>
      <color rgb="0017365D"/>
      <sz val="18"/>
    </font>
    <font>
      <b val="1"/>
      <color rgb="0017365D"/>
      <sz val="13"/>
    </font>
    <font>
      <b val="1"/>
      <color rgb="00FFFFFF"/>
    </font>
    <font>
      <b val="1"/>
      <color rgb="00FFFFFF"/>
      <sz val="16"/>
    </font>
    <font>
      <b val="1"/>
      <color rgb="0017365D"/>
      <sz val="12"/>
    </font>
    <font>
      <b val="1"/>
      <color rgb="0017365D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5F9FC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D9E1F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6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0" fillId="7" borderId="2" pivotButton="0" quotePrefix="0" xfId="0"/>
    <xf numFmtId="166" fontId="0" fillId="7" borderId="2" pivotButton="0" quotePrefix="0" xfId="0"/>
    <xf numFmtId="167" fontId="0" fillId="7" borderId="2" pivotButton="0" quotePrefix="0" xfId="0"/>
    <xf numFmtId="168" fontId="0" fillId="7" borderId="2" pivotButton="0" quotePrefix="0" xfId="0"/>
    <xf numFmtId="0" fontId="0" fillId="0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8" fontId="0" fillId="0" borderId="2" pivotButton="0" quotePrefix="0" xfId="0"/>
    <xf numFmtId="0" fontId="7" fillId="2" borderId="0" applyAlignment="1" pivotButton="0" quotePrefix="0" xfId="0">
      <alignment horizontal="center"/>
    </xf>
    <xf numFmtId="0" fontId="6" fillId="5" borderId="0" applyAlignment="1" pivotButton="0" quotePrefix="0" xfId="0">
      <alignment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Scenarios by Decision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'Dashboard'!$A$10:$A$12</f>
            </numRef>
          </cat>
          <val>
            <numRef>
              <f>'Dashboard'!$B$10:$B$12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ROI by CubeSat Class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'Dashboard'!$D$10:$D$13</f>
            </numRef>
          </cat>
          <val>
            <numRef>
              <f>'Dashboard'!$E$10:$E$13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14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beSatScenarios" displayName="CubeSatScenarios" ref="A1:U41" headerRowCount="1">
  <autoFilter ref="A1:U41"/>
  <tableColumns count="21">
    <tableColumn id="1" name="Scenario ID"/>
    <tableColumn id="2" name="CubeSat Class"/>
    <tableColumn id="3" name="Mission Type"/>
    <tableColumn id="4" name="Mass (kg)"/>
    <tableColumn id="5" name="Mission Lifetime (years)"/>
    <tableColumn id="6" name="Development Cost ($000)"/>
    <tableColumn id="7" name="Launch Cost ($000)"/>
    <tableColumn id="8" name="Integration Cost ($000)"/>
    <tableColumn id="9" name="Testing Cost ($000)"/>
    <tableColumn id="10" name="Annual Operating Cost ($000)"/>
    <tableColumn id="11" name="Annual Revenue ($000)"/>
    <tableColumn id="12" name="Total Cost ($000)"/>
    <tableColumn id="13" name="Total Revenue ($000)"/>
    <tableColumn id="14" name="Net Profit ($000)"/>
    <tableColumn id="15" name="ROI (%)"/>
    <tableColumn id="16" name="Break-even (years)"/>
    <tableColumn id="17" name="Risk Score (0-100)"/>
    <tableColumn id="18" name="Demand Score (0-100)"/>
    <tableColumn id="19" name="Payload Fit Score (0-100)"/>
    <tableColumn id="20" name="Feasibility Score (0-100)"/>
    <tableColumn id="21" name="Deci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" customWidth="1" min="3" max="3"/>
    <col width="20" customWidth="1" min="4" max="4"/>
    <col width="18" customWidth="1" min="5" max="5"/>
    <col width="14" customWidth="1" min="6" max="6"/>
    <col width="17" customWidth="1" min="7" max="7"/>
    <col width="17" customWidth="1" min="8" max="8"/>
  </cols>
  <sheetData>
    <row r="1" ht="34" customHeight="1">
      <c r="A1" s="1" t="inlineStr">
        <is>
          <t>CUBESAT MISSION BUSINESS ANALYTICS</t>
        </is>
      </c>
    </row>
    <row r="2">
      <c r="A2" s="2" t="inlineStr">
        <is>
          <t>Launch Cost • Mission Feasibility • Revenue • ROI | Educational scenario model; values are illustrative assumptions</t>
        </is>
      </c>
    </row>
    <row r="4" ht="23" customHeight="1">
      <c r="A4" s="3" t="inlineStr">
        <is>
          <t>SCENARIOS</t>
        </is>
      </c>
      <c r="C4" s="3" t="inlineStr">
        <is>
          <t>FEASIBLE</t>
        </is>
      </c>
      <c r="E4" s="3" t="inlineStr">
        <is>
          <t>AVG ROI</t>
        </is>
      </c>
      <c r="G4" s="3" t="inlineStr">
        <is>
          <t>AVG NET PROFIT ($000)</t>
        </is>
      </c>
    </row>
    <row r="5" ht="23" customHeight="1">
      <c r="A5" s="4">
        <f>COUNTA('Scenario Data'!A2:A41)</f>
        <v/>
      </c>
      <c r="C5" s="4">
        <f>COUNTIF('Scenario Data'!U2:U41,"Feasible")</f>
        <v/>
      </c>
      <c r="E5" s="5">
        <f>AVERAGE('Scenario Data'!O2:O41)</f>
        <v/>
      </c>
      <c r="G5" s="6">
        <f>AVERAGE('Scenario Data'!N2:N41)</f>
        <v/>
      </c>
    </row>
    <row r="6" ht="23" customHeight="1"/>
    <row r="8">
      <c r="A8" s="7" t="inlineStr">
        <is>
          <t>Decision Summary</t>
        </is>
      </c>
      <c r="D8" s="7" t="inlineStr">
        <is>
          <t>Average ROI by CubeSat Class</t>
        </is>
      </c>
    </row>
    <row r="9">
      <c r="A9" s="8" t="inlineStr">
        <is>
          <t>Decision</t>
        </is>
      </c>
      <c r="B9" s="8" t="inlineStr">
        <is>
          <t>Count</t>
        </is>
      </c>
      <c r="D9" s="8" t="inlineStr">
        <is>
          <t>Class</t>
        </is>
      </c>
      <c r="E9" s="8" t="inlineStr">
        <is>
          <t>Average ROI (%)</t>
        </is>
      </c>
    </row>
    <row r="10">
      <c r="A10" s="9" t="inlineStr">
        <is>
          <t>Feasible</t>
        </is>
      </c>
      <c r="B10" s="9">
        <f>COUNTIF('Scenario Data'!U2:U41,A10)</f>
        <v/>
      </c>
      <c r="D10" t="inlineStr">
        <is>
          <t>1U</t>
        </is>
      </c>
      <c r="E10" s="10">
        <f>AVERAGEIF('Scenario Data'!B2:B41,D10,'Scenario Data'!O2:O41)</f>
        <v/>
      </c>
    </row>
    <row r="11">
      <c r="A11" s="9" t="inlineStr">
        <is>
          <t>Review</t>
        </is>
      </c>
      <c r="B11" s="9">
        <f>COUNTIF('Scenario Data'!U2:U41,A11)</f>
        <v/>
      </c>
      <c r="D11" t="inlineStr">
        <is>
          <t>3U</t>
        </is>
      </c>
      <c r="E11" s="10">
        <f>AVERAGEIF('Scenario Data'!B2:B41,D11,'Scenario Data'!O2:O41)</f>
        <v/>
      </c>
    </row>
    <row r="12">
      <c r="A12" s="9" t="inlineStr">
        <is>
          <t>Not Feasible</t>
        </is>
      </c>
      <c r="B12" s="9">
        <f>COUNTIF('Scenario Data'!U2:U41,A12)</f>
        <v/>
      </c>
      <c r="D12" t="inlineStr">
        <is>
          <t>6U</t>
        </is>
      </c>
      <c r="E12" s="10">
        <f>AVERAGEIF('Scenario Data'!B2:B41,D12,'Scenario Data'!O2:O41)</f>
        <v/>
      </c>
    </row>
    <row r="13">
      <c r="D13" t="inlineStr">
        <is>
          <t>12U</t>
        </is>
      </c>
      <c r="E13" s="10">
        <f>AVERAGEIF('Scenario Data'!B2:B41,D13,'Scenario Data'!O2:O41)</f>
        <v/>
      </c>
    </row>
    <row r="30">
      <c r="A30" s="7" t="inlineStr">
        <is>
          <t>How to use</t>
        </is>
      </c>
    </row>
    <row r="31">
      <c r="A31" s="11" t="inlineStr">
        <is>
          <t>Filter the Scenario Data sheet to compare mission types and satellite classes. All costs/revenues are in USD thousands. Review assumptions and methodology before interpreting the results. The model is a classroom business-analysis exercise, not investment or mission engineering advice.</t>
        </is>
      </c>
    </row>
    <row r="32"/>
    <row r="33"/>
  </sheetData>
  <mergeCells count="11">
    <mergeCell ref="A4:B4"/>
    <mergeCell ref="G4:H4"/>
    <mergeCell ref="E4:F4"/>
    <mergeCell ref="A2:H2"/>
    <mergeCell ref="C5:D6"/>
    <mergeCell ref="A5:B6"/>
    <mergeCell ref="G5:H6"/>
    <mergeCell ref="E5:F6"/>
    <mergeCell ref="A31:H33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9" customWidth="1" min="3" max="3"/>
    <col width="13" customWidth="1" min="4" max="4"/>
    <col width="25" customWidth="1" min="5" max="5"/>
    <col width="25" customWidth="1" min="6" max="6"/>
    <col width="20" customWidth="1" min="7" max="7"/>
    <col width="25" customWidth="1" min="8" max="8"/>
    <col width="21" customWidth="1" min="9" max="9"/>
    <col width="25" customWidth="1" min="10" max="10"/>
    <col width="23" customWidth="1" min="11" max="11"/>
    <col width="19" customWidth="1" min="12" max="12"/>
    <col width="22" customWidth="1" min="13" max="13"/>
    <col width="19" customWidth="1" min="14" max="14"/>
    <col width="13" customWidth="1" min="15" max="15"/>
    <col width="20" customWidth="1" min="16" max="16"/>
    <col width="20" customWidth="1" min="17" max="17"/>
    <col width="22" customWidth="1" min="18" max="18"/>
    <col width="25" customWidth="1" min="19" max="19"/>
    <col width="25" customWidth="1" min="20" max="20"/>
    <col width="13" customWidth="1" min="21" max="21"/>
  </cols>
  <sheetData>
    <row r="1">
      <c r="A1" s="12" t="inlineStr">
        <is>
          <t>Scenario ID</t>
        </is>
      </c>
      <c r="B1" s="12" t="inlineStr">
        <is>
          <t>CubeSat Class</t>
        </is>
      </c>
      <c r="C1" s="12" t="inlineStr">
        <is>
          <t>Mission Type</t>
        </is>
      </c>
      <c r="D1" s="12" t="inlineStr">
        <is>
          <t>Mass (kg)</t>
        </is>
      </c>
      <c r="E1" s="12" t="inlineStr">
        <is>
          <t>Mission Lifetime (years)</t>
        </is>
      </c>
      <c r="F1" s="12" t="inlineStr">
        <is>
          <t>Development Cost ($000)</t>
        </is>
      </c>
      <c r="G1" s="12" t="inlineStr">
        <is>
          <t>Launch Cost ($000)</t>
        </is>
      </c>
      <c r="H1" s="12" t="inlineStr">
        <is>
          <t>Integration Cost ($000)</t>
        </is>
      </c>
      <c r="I1" s="12" t="inlineStr">
        <is>
          <t>Testing Cost ($000)</t>
        </is>
      </c>
      <c r="J1" s="12" t="inlineStr">
        <is>
          <t>Annual Operating Cost ($000)</t>
        </is>
      </c>
      <c r="K1" s="12" t="inlineStr">
        <is>
          <t>Annual Revenue ($000)</t>
        </is>
      </c>
      <c r="L1" s="12" t="inlineStr">
        <is>
          <t>Total Cost ($000)</t>
        </is>
      </c>
      <c r="M1" s="12" t="inlineStr">
        <is>
          <t>Total Revenue ($000)</t>
        </is>
      </c>
      <c r="N1" s="12" t="inlineStr">
        <is>
          <t>Net Profit ($000)</t>
        </is>
      </c>
      <c r="O1" s="12" t="inlineStr">
        <is>
          <t>ROI (%)</t>
        </is>
      </c>
      <c r="P1" s="12" t="inlineStr">
        <is>
          <t>Break-even (years)</t>
        </is>
      </c>
      <c r="Q1" s="12" t="inlineStr">
        <is>
          <t>Risk Score (0-100)</t>
        </is>
      </c>
      <c r="R1" s="12" t="inlineStr">
        <is>
          <t>Demand Score (0-100)</t>
        </is>
      </c>
      <c r="S1" s="12" t="inlineStr">
        <is>
          <t>Payload Fit Score (0-100)</t>
        </is>
      </c>
      <c r="T1" s="12" t="inlineStr">
        <is>
          <t>Feasibility Score (0-100)</t>
        </is>
      </c>
      <c r="U1" s="12" t="inlineStr">
        <is>
          <t>Decision</t>
        </is>
      </c>
    </row>
    <row r="2">
      <c r="A2" s="13" t="inlineStr">
        <is>
          <t>CS-001</t>
        </is>
      </c>
      <c r="B2" s="13" t="inlineStr">
        <is>
          <t>1U</t>
        </is>
      </c>
      <c r="C2" s="13" t="inlineStr">
        <is>
          <t>Earth Observation</t>
        </is>
      </c>
      <c r="D2" s="13" t="n">
        <v>1.33</v>
      </c>
      <c r="E2" s="14" t="n">
        <v>3</v>
      </c>
      <c r="F2" s="15" t="n">
        <v>47.52</v>
      </c>
      <c r="G2" s="15" t="n">
        <v>121.43</v>
      </c>
      <c r="H2" s="15" t="n">
        <v>12</v>
      </c>
      <c r="I2" s="15" t="n">
        <v>9.699999999999999</v>
      </c>
      <c r="J2" s="15" t="n">
        <v>8.35</v>
      </c>
      <c r="K2" s="15" t="n">
        <v>82.92</v>
      </c>
      <c r="L2" s="15" t="n">
        <v>215.71</v>
      </c>
      <c r="M2" s="15" t="n">
        <v>248.75</v>
      </c>
      <c r="N2" s="15" t="n">
        <v>33.04</v>
      </c>
      <c r="O2" s="16" t="n">
        <v>15.32</v>
      </c>
      <c r="P2" s="14" t="n">
        <v>2.6</v>
      </c>
      <c r="Q2" s="14" t="n">
        <v>63.3</v>
      </c>
      <c r="R2" s="14" t="n">
        <v>72</v>
      </c>
      <c r="S2" s="14" t="n">
        <v>78</v>
      </c>
      <c r="T2" s="14" t="n">
        <v>65.3</v>
      </c>
      <c r="U2" s="13" t="inlineStr">
        <is>
          <t>Review</t>
        </is>
      </c>
    </row>
    <row r="3">
      <c r="A3" s="17" t="inlineStr">
        <is>
          <t>CS-002</t>
        </is>
      </c>
      <c r="B3" s="17" t="inlineStr">
        <is>
          <t>1U</t>
        </is>
      </c>
      <c r="C3" s="17" t="inlineStr">
        <is>
          <t>IoT Connectivity</t>
        </is>
      </c>
      <c r="D3" s="17" t="n">
        <v>1.33</v>
      </c>
      <c r="E3" s="18" t="n">
        <v>4.5</v>
      </c>
      <c r="F3" s="19" t="n">
        <v>47.25</v>
      </c>
      <c r="G3" s="19" t="n">
        <v>133.13</v>
      </c>
      <c r="H3" s="19" t="n">
        <v>13.2</v>
      </c>
      <c r="I3" s="19" t="n">
        <v>10.4</v>
      </c>
      <c r="J3" s="19" t="n">
        <v>8.48</v>
      </c>
      <c r="K3" s="19" t="n">
        <v>100.62</v>
      </c>
      <c r="L3" s="19" t="n">
        <v>242.14</v>
      </c>
      <c r="M3" s="19" t="n">
        <v>452.81</v>
      </c>
      <c r="N3" s="19" t="n">
        <v>210.67</v>
      </c>
      <c r="O3" s="20" t="n">
        <v>87</v>
      </c>
      <c r="P3" s="18" t="n">
        <v>2.41</v>
      </c>
      <c r="Q3" s="18" t="n">
        <v>61.2</v>
      </c>
      <c r="R3" s="18" t="n">
        <v>80</v>
      </c>
      <c r="S3" s="18" t="n">
        <v>75</v>
      </c>
      <c r="T3" s="18" t="n">
        <v>67.90000000000001</v>
      </c>
      <c r="U3" s="17" t="inlineStr">
        <is>
          <t>Feasible</t>
        </is>
      </c>
    </row>
    <row r="4">
      <c r="A4" s="13" t="inlineStr">
        <is>
          <t>CS-003</t>
        </is>
      </c>
      <c r="B4" s="13" t="inlineStr">
        <is>
          <t>1U</t>
        </is>
      </c>
      <c r="C4" s="13" t="inlineStr">
        <is>
          <t>AIS / Maritime Tracking</t>
        </is>
      </c>
      <c r="D4" s="13" t="n">
        <v>1.33</v>
      </c>
      <c r="E4" s="14" t="n">
        <v>3</v>
      </c>
      <c r="F4" s="15" t="n">
        <v>46.8</v>
      </c>
      <c r="G4" s="15" t="n">
        <v>144.84</v>
      </c>
      <c r="H4" s="15" t="n">
        <v>10.8</v>
      </c>
      <c r="I4" s="15" t="n">
        <v>11.1</v>
      </c>
      <c r="J4" s="15" t="n">
        <v>8.289999999999999</v>
      </c>
      <c r="K4" s="15" t="n">
        <v>74.29000000000001</v>
      </c>
      <c r="L4" s="15" t="n">
        <v>238.4</v>
      </c>
      <c r="M4" s="15" t="n">
        <v>222.87</v>
      </c>
      <c r="N4" s="15" t="n">
        <v>-15.53</v>
      </c>
      <c r="O4" s="16" t="n">
        <v>-6.51</v>
      </c>
      <c r="P4" s="14" t="n">
        <v>3.21</v>
      </c>
      <c r="Q4" s="14" t="n">
        <v>66.7</v>
      </c>
      <c r="R4" s="14" t="n">
        <v>68</v>
      </c>
      <c r="S4" s="14" t="n">
        <v>70</v>
      </c>
      <c r="T4" s="14" t="n">
        <v>60</v>
      </c>
      <c r="U4" s="13" t="inlineStr">
        <is>
          <t>Not Feasible</t>
        </is>
      </c>
    </row>
    <row r="5">
      <c r="A5" s="17" t="inlineStr">
        <is>
          <t>CS-004</t>
        </is>
      </c>
      <c r="B5" s="17" t="inlineStr">
        <is>
          <t>1U</t>
        </is>
      </c>
      <c r="C5" s="17" t="inlineStr">
        <is>
          <t>Weather Data</t>
        </is>
      </c>
      <c r="D5" s="17" t="n">
        <v>1.33</v>
      </c>
      <c r="E5" s="18" t="n">
        <v>4</v>
      </c>
      <c r="F5" s="19" t="n">
        <v>47.7</v>
      </c>
      <c r="G5" s="19" t="n">
        <v>109.73</v>
      </c>
      <c r="H5" s="19" t="n">
        <v>12</v>
      </c>
      <c r="I5" s="19" t="n">
        <v>9</v>
      </c>
      <c r="J5" s="19" t="n">
        <v>8.380000000000001</v>
      </c>
      <c r="K5" s="19" t="n">
        <v>91.25</v>
      </c>
      <c r="L5" s="19" t="n">
        <v>211.96</v>
      </c>
      <c r="M5" s="19" t="n">
        <v>365.01</v>
      </c>
      <c r="N5" s="19" t="n">
        <v>153.05</v>
      </c>
      <c r="O5" s="20" t="n">
        <v>72.20999999999999</v>
      </c>
      <c r="P5" s="18" t="n">
        <v>2.32</v>
      </c>
      <c r="Q5" s="18" t="n">
        <v>62.1</v>
      </c>
      <c r="R5" s="18" t="n">
        <v>74</v>
      </c>
      <c r="S5" s="18" t="n">
        <v>80</v>
      </c>
      <c r="T5" s="18" t="n">
        <v>67.09999999999999</v>
      </c>
      <c r="U5" s="17" t="inlineStr">
        <is>
          <t>Feasible</t>
        </is>
      </c>
    </row>
    <row r="6">
      <c r="A6" s="13" t="inlineStr">
        <is>
          <t>CS-005</t>
        </is>
      </c>
      <c r="B6" s="13" t="inlineStr">
        <is>
          <t>1U</t>
        </is>
      </c>
      <c r="C6" s="13" t="inlineStr">
        <is>
          <t>Technology Demonstration</t>
        </is>
      </c>
      <c r="D6" s="13" t="n">
        <v>1.33</v>
      </c>
      <c r="E6" s="14" t="n">
        <v>2.5</v>
      </c>
      <c r="F6" s="15" t="n">
        <v>45.72</v>
      </c>
      <c r="G6" s="15" t="n">
        <v>121.43</v>
      </c>
      <c r="H6" s="15" t="n">
        <v>13.2</v>
      </c>
      <c r="I6" s="15" t="n">
        <v>9.699999999999999</v>
      </c>
      <c r="J6" s="15" t="n">
        <v>8.16</v>
      </c>
      <c r="K6" s="15" t="n">
        <v>26.83</v>
      </c>
      <c r="L6" s="15" t="n">
        <v>210.45</v>
      </c>
      <c r="M6" s="15" t="n">
        <v>67.08</v>
      </c>
      <c r="N6" s="15" t="n">
        <v>-143.37</v>
      </c>
      <c r="O6" s="16" t="n">
        <v>-68.12</v>
      </c>
      <c r="P6" s="14" t="n">
        <v>7.84</v>
      </c>
      <c r="Q6" s="14" t="n">
        <v>72.5</v>
      </c>
      <c r="R6" s="14" t="n">
        <v>60</v>
      </c>
      <c r="S6" s="14" t="n">
        <v>58</v>
      </c>
      <c r="T6" s="14" t="n">
        <v>51.2</v>
      </c>
      <c r="U6" s="13" t="inlineStr">
        <is>
          <t>Not Feasible</t>
        </is>
      </c>
    </row>
    <row r="7">
      <c r="A7" s="17" t="inlineStr">
        <is>
          <t>CS-006</t>
        </is>
      </c>
      <c r="B7" s="17" t="inlineStr">
        <is>
          <t>1U</t>
        </is>
      </c>
      <c r="C7" s="17" t="inlineStr">
        <is>
          <t>Agriculture Analytics</t>
        </is>
      </c>
      <c r="D7" s="17" t="n">
        <v>1.33</v>
      </c>
      <c r="E7" s="18" t="n">
        <v>2.5</v>
      </c>
      <c r="F7" s="19" t="n">
        <v>46.98</v>
      </c>
      <c r="G7" s="19" t="n">
        <v>133.13</v>
      </c>
      <c r="H7" s="19" t="n">
        <v>10.8</v>
      </c>
      <c r="I7" s="19" t="n">
        <v>10.4</v>
      </c>
      <c r="J7" s="19" t="n">
        <v>8.42</v>
      </c>
      <c r="K7" s="19" t="n">
        <v>67.77</v>
      </c>
      <c r="L7" s="19" t="n">
        <v>222.35</v>
      </c>
      <c r="M7" s="19" t="n">
        <v>169.43</v>
      </c>
      <c r="N7" s="19" t="n">
        <v>-52.92</v>
      </c>
      <c r="O7" s="20" t="n">
        <v>-23.8</v>
      </c>
      <c r="P7" s="18" t="n">
        <v>3.28</v>
      </c>
      <c r="Q7" s="18" t="n">
        <v>63.4</v>
      </c>
      <c r="R7" s="18" t="n">
        <v>76</v>
      </c>
      <c r="S7" s="18" t="n">
        <v>72</v>
      </c>
      <c r="T7" s="18" t="n">
        <v>64.8</v>
      </c>
      <c r="U7" s="17" t="inlineStr">
        <is>
          <t>Not Feasible</t>
        </is>
      </c>
    </row>
    <row r="8">
      <c r="A8" s="13" t="inlineStr">
        <is>
          <t>CS-007</t>
        </is>
      </c>
      <c r="B8" s="13" t="inlineStr">
        <is>
          <t>1U</t>
        </is>
      </c>
      <c r="C8" s="13" t="inlineStr">
        <is>
          <t>Disaster Monitoring</t>
        </is>
      </c>
      <c r="D8" s="13" t="n">
        <v>1.33</v>
      </c>
      <c r="E8" s="14" t="n">
        <v>3</v>
      </c>
      <c r="F8" s="15" t="n">
        <v>47.88</v>
      </c>
      <c r="G8" s="15" t="n">
        <v>144.84</v>
      </c>
      <c r="H8" s="15" t="n">
        <v>12</v>
      </c>
      <c r="I8" s="15" t="n">
        <v>11.1</v>
      </c>
      <c r="J8" s="15" t="n">
        <v>8.32</v>
      </c>
      <c r="K8" s="15" t="n">
        <v>70.72</v>
      </c>
      <c r="L8" s="15" t="n">
        <v>240.78</v>
      </c>
      <c r="M8" s="15" t="n">
        <v>212.17</v>
      </c>
      <c r="N8" s="15" t="n">
        <v>-28.6</v>
      </c>
      <c r="O8" s="16" t="n">
        <v>-11.88</v>
      </c>
      <c r="P8" s="14" t="n">
        <v>3.4</v>
      </c>
      <c r="Q8" s="14" t="n">
        <v>63</v>
      </c>
      <c r="R8" s="14" t="n">
        <v>70</v>
      </c>
      <c r="S8" s="14" t="n">
        <v>82</v>
      </c>
      <c r="T8" s="14" t="n">
        <v>66</v>
      </c>
      <c r="U8" s="13" t="inlineStr">
        <is>
          <t>Not Feasible</t>
        </is>
      </c>
    </row>
    <row r="9">
      <c r="A9" s="17" t="inlineStr">
        <is>
          <t>CS-008</t>
        </is>
      </c>
      <c r="B9" s="17" t="inlineStr">
        <is>
          <t>1U</t>
        </is>
      </c>
      <c r="C9" s="17" t="inlineStr">
        <is>
          <t>RF / Spectrum Monitoring</t>
        </is>
      </c>
      <c r="D9" s="17" t="n">
        <v>1.33</v>
      </c>
      <c r="E9" s="18" t="n">
        <v>4</v>
      </c>
      <c r="F9" s="19" t="n">
        <v>46.53</v>
      </c>
      <c r="G9" s="19" t="n">
        <v>109.73</v>
      </c>
      <c r="H9" s="19" t="n">
        <v>13.2</v>
      </c>
      <c r="I9" s="19" t="n">
        <v>9</v>
      </c>
      <c r="J9" s="19" t="n">
        <v>8.24</v>
      </c>
      <c r="K9" s="19" t="n">
        <v>77.62</v>
      </c>
      <c r="L9" s="19" t="n">
        <v>211.41</v>
      </c>
      <c r="M9" s="19" t="n">
        <v>310.5</v>
      </c>
      <c r="N9" s="19" t="n">
        <v>99.08</v>
      </c>
      <c r="O9" s="20" t="n">
        <v>46.87</v>
      </c>
      <c r="P9" s="18" t="n">
        <v>2.72</v>
      </c>
      <c r="Q9" s="18" t="n">
        <v>68.5</v>
      </c>
      <c r="R9" s="18" t="n">
        <v>65</v>
      </c>
      <c r="S9" s="18" t="n">
        <v>67</v>
      </c>
      <c r="T9" s="18" t="n">
        <v>57.3</v>
      </c>
      <c r="U9" s="17" t="inlineStr">
        <is>
          <t>Review</t>
        </is>
      </c>
    </row>
    <row r="10">
      <c r="A10" s="13" t="inlineStr">
        <is>
          <t>CS-009</t>
        </is>
      </c>
      <c r="B10" s="13" t="inlineStr">
        <is>
          <t>1U</t>
        </is>
      </c>
      <c r="C10" s="13" t="inlineStr">
        <is>
          <t>Asset Tracking</t>
        </is>
      </c>
      <c r="D10" s="13" t="n">
        <v>1.33</v>
      </c>
      <c r="E10" s="14" t="n">
        <v>2.5</v>
      </c>
      <c r="F10" s="15" t="n">
        <v>46.71</v>
      </c>
      <c r="G10" s="15" t="n">
        <v>121.43</v>
      </c>
      <c r="H10" s="15" t="n">
        <v>10.8</v>
      </c>
      <c r="I10" s="15" t="n">
        <v>9.699999999999999</v>
      </c>
      <c r="J10" s="15" t="n">
        <v>8.43</v>
      </c>
      <c r="K10" s="15" t="n">
        <v>63.94</v>
      </c>
      <c r="L10" s="15" t="n">
        <v>209.72</v>
      </c>
      <c r="M10" s="15" t="n">
        <v>159.85</v>
      </c>
      <c r="N10" s="15" t="n">
        <v>-49.87</v>
      </c>
      <c r="O10" s="16" t="n">
        <v>-23.78</v>
      </c>
      <c r="P10" s="14" t="n">
        <v>3.28</v>
      </c>
      <c r="Q10" s="14" t="n">
        <v>63.8</v>
      </c>
      <c r="R10" s="14" t="n">
        <v>77</v>
      </c>
      <c r="S10" s="14" t="n">
        <v>69</v>
      </c>
      <c r="T10" s="14" t="n">
        <v>64</v>
      </c>
      <c r="U10" s="13" t="inlineStr">
        <is>
          <t>Not Feasible</t>
        </is>
      </c>
    </row>
    <row r="11">
      <c r="A11" s="17" t="inlineStr">
        <is>
          <t>CS-010</t>
        </is>
      </c>
      <c r="B11" s="17" t="inlineStr">
        <is>
          <t>1U</t>
        </is>
      </c>
      <c r="C11" s="17" t="inlineStr">
        <is>
          <t>Space Situational Awareness</t>
        </is>
      </c>
      <c r="D11" s="17" t="n">
        <v>1.33</v>
      </c>
      <c r="E11" s="18" t="n">
        <v>2.5</v>
      </c>
      <c r="F11" s="19" t="n">
        <v>47.25</v>
      </c>
      <c r="G11" s="19" t="n">
        <v>133.13</v>
      </c>
      <c r="H11" s="19" t="n">
        <v>12</v>
      </c>
      <c r="I11" s="19" t="n">
        <v>10.4</v>
      </c>
      <c r="J11" s="19" t="n">
        <v>8.19</v>
      </c>
      <c r="K11" s="19" t="n">
        <v>53.93</v>
      </c>
      <c r="L11" s="19" t="n">
        <v>223.26</v>
      </c>
      <c r="M11" s="19" t="n">
        <v>134.84</v>
      </c>
      <c r="N11" s="19" t="n">
        <v>-88.43000000000001</v>
      </c>
      <c r="O11" s="20" t="n">
        <v>-39.61</v>
      </c>
      <c r="P11" s="18" t="n">
        <v>4.14</v>
      </c>
      <c r="Q11" s="18" t="n">
        <v>67.5</v>
      </c>
      <c r="R11" s="18" t="n">
        <v>62</v>
      </c>
      <c r="S11" s="18" t="n">
        <v>75</v>
      </c>
      <c r="T11" s="18" t="n">
        <v>59.2</v>
      </c>
      <c r="U11" s="17" t="inlineStr">
        <is>
          <t>Not Feasible</t>
        </is>
      </c>
    </row>
    <row r="12">
      <c r="A12" s="13" t="inlineStr">
        <is>
          <t>CS-011</t>
        </is>
      </c>
      <c r="B12" s="13" t="inlineStr">
        <is>
          <t>3U</t>
        </is>
      </c>
      <c r="C12" s="13" t="inlineStr">
        <is>
          <t>Earth Observation</t>
        </is>
      </c>
      <c r="D12" s="13" t="n">
        <v>4</v>
      </c>
      <c r="E12" s="14" t="n">
        <v>3.5</v>
      </c>
      <c r="F12" s="15" t="n">
        <v>100.32</v>
      </c>
      <c r="G12" s="15" t="n">
        <v>356.4</v>
      </c>
      <c r="H12" s="15" t="n">
        <v>19.8</v>
      </c>
      <c r="I12" s="15" t="n">
        <v>17.76</v>
      </c>
      <c r="J12" s="15" t="n">
        <v>14.62</v>
      </c>
      <c r="K12" s="15" t="n">
        <v>108.15</v>
      </c>
      <c r="L12" s="15" t="n">
        <v>545.4400000000001</v>
      </c>
      <c r="M12" s="15" t="n">
        <v>378.53</v>
      </c>
      <c r="N12" s="15" t="n">
        <v>-166.91</v>
      </c>
      <c r="O12" s="16" t="n">
        <v>-30.6</v>
      </c>
      <c r="P12" s="14" t="n">
        <v>5.04</v>
      </c>
      <c r="Q12" s="14" t="n">
        <v>55.3</v>
      </c>
      <c r="R12" s="14" t="n">
        <v>72</v>
      </c>
      <c r="S12" s="14" t="n">
        <v>78</v>
      </c>
      <c r="T12" s="14" t="n">
        <v>67.3</v>
      </c>
      <c r="U12" s="13" t="inlineStr">
        <is>
          <t>Not Feasible</t>
        </is>
      </c>
    </row>
    <row r="13">
      <c r="A13" s="17" t="inlineStr">
        <is>
          <t>CS-012</t>
        </is>
      </c>
      <c r="B13" s="17" t="inlineStr">
        <is>
          <t>3U</t>
        </is>
      </c>
      <c r="C13" s="17" t="inlineStr">
        <is>
          <t>IoT Connectivity</t>
        </is>
      </c>
      <c r="D13" s="17" t="n">
        <v>4</v>
      </c>
      <c r="E13" s="18" t="n">
        <v>3.5</v>
      </c>
      <c r="F13" s="19" t="n">
        <v>99.75</v>
      </c>
      <c r="G13" s="19" t="n">
        <v>270</v>
      </c>
      <c r="H13" s="19" t="n">
        <v>16.2</v>
      </c>
      <c r="I13" s="19" t="n">
        <v>14.4</v>
      </c>
      <c r="J13" s="19" t="n">
        <v>14.84</v>
      </c>
      <c r="K13" s="19" t="n">
        <v>131.25</v>
      </c>
      <c r="L13" s="19" t="n">
        <v>452.29</v>
      </c>
      <c r="M13" s="19" t="n">
        <v>459.38</v>
      </c>
      <c r="N13" s="19" t="n">
        <v>7.09</v>
      </c>
      <c r="O13" s="20" t="n">
        <v>1.57</v>
      </c>
      <c r="P13" s="18" t="n">
        <v>3.45</v>
      </c>
      <c r="Q13" s="18" t="n">
        <v>53.2</v>
      </c>
      <c r="R13" s="18" t="n">
        <v>80</v>
      </c>
      <c r="S13" s="18" t="n">
        <v>75</v>
      </c>
      <c r="T13" s="18" t="n">
        <v>69.90000000000001</v>
      </c>
      <c r="U13" s="17" t="inlineStr">
        <is>
          <t>Review</t>
        </is>
      </c>
    </row>
    <row r="14">
      <c r="A14" s="13" t="inlineStr">
        <is>
          <t>CS-013</t>
        </is>
      </c>
      <c r="B14" s="13" t="inlineStr">
        <is>
          <t>3U</t>
        </is>
      </c>
      <c r="C14" s="13" t="inlineStr">
        <is>
          <t>AIS / Maritime Tracking</t>
        </is>
      </c>
      <c r="D14" s="13" t="n">
        <v>4</v>
      </c>
      <c r="E14" s="14" t="n">
        <v>3.5</v>
      </c>
      <c r="F14" s="15" t="n">
        <v>98.8</v>
      </c>
      <c r="G14" s="15" t="n">
        <v>298.8</v>
      </c>
      <c r="H14" s="15" t="n">
        <v>18</v>
      </c>
      <c r="I14" s="15" t="n">
        <v>15.52</v>
      </c>
      <c r="J14" s="15" t="n">
        <v>14.5</v>
      </c>
      <c r="K14" s="15" t="n">
        <v>96.90000000000001</v>
      </c>
      <c r="L14" s="15" t="n">
        <v>481.88</v>
      </c>
      <c r="M14" s="15" t="n">
        <v>339.15</v>
      </c>
      <c r="N14" s="15" t="n">
        <v>-142.73</v>
      </c>
      <c r="O14" s="16" t="n">
        <v>-29.62</v>
      </c>
      <c r="P14" s="14" t="n">
        <v>4.97</v>
      </c>
      <c r="Q14" s="14" t="n">
        <v>58.7</v>
      </c>
      <c r="R14" s="14" t="n">
        <v>68</v>
      </c>
      <c r="S14" s="14" t="n">
        <v>70</v>
      </c>
      <c r="T14" s="14" t="n">
        <v>62</v>
      </c>
      <c r="U14" s="13" t="inlineStr">
        <is>
          <t>Not Feasible</t>
        </is>
      </c>
    </row>
    <row r="15">
      <c r="A15" s="17" t="inlineStr">
        <is>
          <t>CS-014</t>
        </is>
      </c>
      <c r="B15" s="17" t="inlineStr">
        <is>
          <t>3U</t>
        </is>
      </c>
      <c r="C15" s="17" t="inlineStr">
        <is>
          <t>Weather Data</t>
        </is>
      </c>
      <c r="D15" s="17" t="n">
        <v>4</v>
      </c>
      <c r="E15" s="18" t="n">
        <v>4.5</v>
      </c>
      <c r="F15" s="19" t="n">
        <v>100.7</v>
      </c>
      <c r="G15" s="19" t="n">
        <v>327.6</v>
      </c>
      <c r="H15" s="19" t="n">
        <v>19.8</v>
      </c>
      <c r="I15" s="19" t="n">
        <v>16.64</v>
      </c>
      <c r="J15" s="19" t="n">
        <v>14.67</v>
      </c>
      <c r="K15" s="19" t="n">
        <v>119.02</v>
      </c>
      <c r="L15" s="19" t="n">
        <v>530.76</v>
      </c>
      <c r="M15" s="19" t="n">
        <v>535.61</v>
      </c>
      <c r="N15" s="19" t="n">
        <v>4.85</v>
      </c>
      <c r="O15" s="20" t="n">
        <v>0.91</v>
      </c>
      <c r="P15" s="18" t="n">
        <v>4.46</v>
      </c>
      <c r="Q15" s="18" t="n">
        <v>54.1</v>
      </c>
      <c r="R15" s="18" t="n">
        <v>74</v>
      </c>
      <c r="S15" s="18" t="n">
        <v>80</v>
      </c>
      <c r="T15" s="18" t="n">
        <v>69.09999999999999</v>
      </c>
      <c r="U15" s="17" t="inlineStr">
        <is>
          <t>Review</t>
        </is>
      </c>
    </row>
    <row r="16">
      <c r="A16" s="13" t="inlineStr">
        <is>
          <t>CS-015</t>
        </is>
      </c>
      <c r="B16" s="13" t="inlineStr">
        <is>
          <t>3U</t>
        </is>
      </c>
      <c r="C16" s="13" t="inlineStr">
        <is>
          <t>Technology Demonstration</t>
        </is>
      </c>
      <c r="D16" s="13" t="n">
        <v>4</v>
      </c>
      <c r="E16" s="14" t="n">
        <v>1.5</v>
      </c>
      <c r="F16" s="15" t="n">
        <v>96.52</v>
      </c>
      <c r="G16" s="15" t="n">
        <v>356.4</v>
      </c>
      <c r="H16" s="15" t="n">
        <v>16.2</v>
      </c>
      <c r="I16" s="15" t="n">
        <v>17.76</v>
      </c>
      <c r="J16" s="15" t="n">
        <v>14.28</v>
      </c>
      <c r="K16" s="15" t="n">
        <v>35</v>
      </c>
      <c r="L16" s="15" t="n">
        <v>508.3</v>
      </c>
      <c r="M16" s="15" t="n">
        <v>52.5</v>
      </c>
      <c r="N16" s="15" t="n">
        <v>-455.8</v>
      </c>
      <c r="O16" s="16" t="n">
        <v>-89.67</v>
      </c>
      <c r="P16" s="14" t="n">
        <v>14.52</v>
      </c>
      <c r="Q16" s="14" t="n">
        <v>64.5</v>
      </c>
      <c r="R16" s="14" t="n">
        <v>60</v>
      </c>
      <c r="S16" s="14" t="n">
        <v>58</v>
      </c>
      <c r="T16" s="14" t="n">
        <v>53.2</v>
      </c>
      <c r="U16" s="13" t="inlineStr">
        <is>
          <t>Not Feasible</t>
        </is>
      </c>
    </row>
    <row r="17">
      <c r="A17" s="17" t="inlineStr">
        <is>
          <t>CS-016</t>
        </is>
      </c>
      <c r="B17" s="17" t="inlineStr">
        <is>
          <t>3U</t>
        </is>
      </c>
      <c r="C17" s="17" t="inlineStr">
        <is>
          <t>Agriculture Analytics</t>
        </is>
      </c>
      <c r="D17" s="17" t="n">
        <v>4</v>
      </c>
      <c r="E17" s="18" t="n">
        <v>3</v>
      </c>
      <c r="F17" s="19" t="n">
        <v>99.18000000000001</v>
      </c>
      <c r="G17" s="19" t="n">
        <v>270</v>
      </c>
      <c r="H17" s="19" t="n">
        <v>18</v>
      </c>
      <c r="I17" s="19" t="n">
        <v>14.4</v>
      </c>
      <c r="J17" s="19" t="n">
        <v>14.73</v>
      </c>
      <c r="K17" s="19" t="n">
        <v>88.40000000000001</v>
      </c>
      <c r="L17" s="19" t="n">
        <v>445.76</v>
      </c>
      <c r="M17" s="19" t="n">
        <v>265.2</v>
      </c>
      <c r="N17" s="19" t="n">
        <v>-180.56</v>
      </c>
      <c r="O17" s="20" t="n">
        <v>-40.51</v>
      </c>
      <c r="P17" s="18" t="n">
        <v>5.04</v>
      </c>
      <c r="Q17" s="18" t="n">
        <v>55.4</v>
      </c>
      <c r="R17" s="18" t="n">
        <v>76</v>
      </c>
      <c r="S17" s="18" t="n">
        <v>72</v>
      </c>
      <c r="T17" s="18" t="n">
        <v>66.8</v>
      </c>
      <c r="U17" s="17" t="inlineStr">
        <is>
          <t>Not Feasible</t>
        </is>
      </c>
    </row>
    <row r="18">
      <c r="A18" s="13" t="inlineStr">
        <is>
          <t>CS-017</t>
        </is>
      </c>
      <c r="B18" s="13" t="inlineStr">
        <is>
          <t>3U</t>
        </is>
      </c>
      <c r="C18" s="13" t="inlineStr">
        <is>
          <t>Disaster Monitoring</t>
        </is>
      </c>
      <c r="D18" s="13" t="n">
        <v>4</v>
      </c>
      <c r="E18" s="14" t="n">
        <v>3.5</v>
      </c>
      <c r="F18" s="15" t="n">
        <v>101.08</v>
      </c>
      <c r="G18" s="15" t="n">
        <v>298.8</v>
      </c>
      <c r="H18" s="15" t="n">
        <v>19.8</v>
      </c>
      <c r="I18" s="15" t="n">
        <v>15.52</v>
      </c>
      <c r="J18" s="15" t="n">
        <v>14.56</v>
      </c>
      <c r="K18" s="15" t="n">
        <v>92.25</v>
      </c>
      <c r="L18" s="15" t="n">
        <v>486.16</v>
      </c>
      <c r="M18" s="15" t="n">
        <v>322.87</v>
      </c>
      <c r="N18" s="15" t="n">
        <v>-163.29</v>
      </c>
      <c r="O18" s="16" t="n">
        <v>-33.59</v>
      </c>
      <c r="P18" s="14" t="n">
        <v>5.27</v>
      </c>
      <c r="Q18" s="14" t="n">
        <v>55</v>
      </c>
      <c r="R18" s="14" t="n">
        <v>70</v>
      </c>
      <c r="S18" s="14" t="n">
        <v>82</v>
      </c>
      <c r="T18" s="14" t="n">
        <v>68</v>
      </c>
      <c r="U18" s="13" t="inlineStr">
        <is>
          <t>Not Feasible</t>
        </is>
      </c>
    </row>
    <row r="19">
      <c r="A19" s="17" t="inlineStr">
        <is>
          <t>CS-018</t>
        </is>
      </c>
      <c r="B19" s="17" t="inlineStr">
        <is>
          <t>3U</t>
        </is>
      </c>
      <c r="C19" s="17" t="inlineStr">
        <is>
          <t>RF / Spectrum Monitoring</t>
        </is>
      </c>
      <c r="D19" s="17" t="n">
        <v>4</v>
      </c>
      <c r="E19" s="18" t="n">
        <v>3</v>
      </c>
      <c r="F19" s="19" t="n">
        <v>98.23</v>
      </c>
      <c r="G19" s="19" t="n">
        <v>327.6</v>
      </c>
      <c r="H19" s="19" t="n">
        <v>16.2</v>
      </c>
      <c r="I19" s="19" t="n">
        <v>16.64</v>
      </c>
      <c r="J19" s="19" t="n">
        <v>14.42</v>
      </c>
      <c r="K19" s="19" t="n">
        <v>101.25</v>
      </c>
      <c r="L19" s="19" t="n">
        <v>501.93</v>
      </c>
      <c r="M19" s="19" t="n">
        <v>303.75</v>
      </c>
      <c r="N19" s="19" t="n">
        <v>-198.18</v>
      </c>
      <c r="O19" s="20" t="n">
        <v>-39.48</v>
      </c>
      <c r="P19" s="18" t="n">
        <v>4.96</v>
      </c>
      <c r="Q19" s="18" t="n">
        <v>60.5</v>
      </c>
      <c r="R19" s="18" t="n">
        <v>65</v>
      </c>
      <c r="S19" s="18" t="n">
        <v>67</v>
      </c>
      <c r="T19" s="18" t="n">
        <v>59.3</v>
      </c>
      <c r="U19" s="17" t="inlineStr">
        <is>
          <t>Not Feasible</t>
        </is>
      </c>
    </row>
    <row r="20">
      <c r="A20" s="13" t="inlineStr">
        <is>
          <t>CS-019</t>
        </is>
      </c>
      <c r="B20" s="13" t="inlineStr">
        <is>
          <t>3U</t>
        </is>
      </c>
      <c r="C20" s="13" t="inlineStr">
        <is>
          <t>Asset Tracking</t>
        </is>
      </c>
      <c r="D20" s="13" t="n">
        <v>4</v>
      </c>
      <c r="E20" s="14" t="n">
        <v>3</v>
      </c>
      <c r="F20" s="15" t="n">
        <v>98.61</v>
      </c>
      <c r="G20" s="15" t="n">
        <v>356.4</v>
      </c>
      <c r="H20" s="15" t="n">
        <v>18</v>
      </c>
      <c r="I20" s="15" t="n">
        <v>17.76</v>
      </c>
      <c r="J20" s="15" t="n">
        <v>14.76</v>
      </c>
      <c r="K20" s="15" t="n">
        <v>83.40000000000001</v>
      </c>
      <c r="L20" s="15" t="n">
        <v>535.04</v>
      </c>
      <c r="M20" s="15" t="n">
        <v>250.2</v>
      </c>
      <c r="N20" s="15" t="n">
        <v>-284.84</v>
      </c>
      <c r="O20" s="16" t="n">
        <v>-53.24</v>
      </c>
      <c r="P20" s="14" t="n">
        <v>6.42</v>
      </c>
      <c r="Q20" s="14" t="n">
        <v>55.8</v>
      </c>
      <c r="R20" s="14" t="n">
        <v>77</v>
      </c>
      <c r="S20" s="14" t="n">
        <v>69</v>
      </c>
      <c r="T20" s="14" t="n">
        <v>66</v>
      </c>
      <c r="U20" s="13" t="inlineStr">
        <is>
          <t>Not Feasible</t>
        </is>
      </c>
    </row>
    <row r="21">
      <c r="A21" s="17" t="inlineStr">
        <is>
          <t>CS-020</t>
        </is>
      </c>
      <c r="B21" s="17" t="inlineStr">
        <is>
          <t>3U</t>
        </is>
      </c>
      <c r="C21" s="17" t="inlineStr">
        <is>
          <t>Space Situational Awareness</t>
        </is>
      </c>
      <c r="D21" s="17" t="n">
        <v>4</v>
      </c>
      <c r="E21" s="18" t="n">
        <v>3</v>
      </c>
      <c r="F21" s="19" t="n">
        <v>99.75</v>
      </c>
      <c r="G21" s="19" t="n">
        <v>270</v>
      </c>
      <c r="H21" s="19" t="n">
        <v>19.8</v>
      </c>
      <c r="I21" s="19" t="n">
        <v>14.4</v>
      </c>
      <c r="J21" s="19" t="n">
        <v>14.34</v>
      </c>
      <c r="K21" s="19" t="n">
        <v>70.34999999999999</v>
      </c>
      <c r="L21" s="19" t="n">
        <v>446.96</v>
      </c>
      <c r="M21" s="19" t="n">
        <v>211.05</v>
      </c>
      <c r="N21" s="19" t="n">
        <v>-235.91</v>
      </c>
      <c r="O21" s="20" t="n">
        <v>-52.78</v>
      </c>
      <c r="P21" s="18" t="n">
        <v>6.35</v>
      </c>
      <c r="Q21" s="18" t="n">
        <v>59.5</v>
      </c>
      <c r="R21" s="18" t="n">
        <v>62</v>
      </c>
      <c r="S21" s="18" t="n">
        <v>75</v>
      </c>
      <c r="T21" s="18" t="n">
        <v>61.2</v>
      </c>
      <c r="U21" s="17" t="inlineStr">
        <is>
          <t>Not Feasible</t>
        </is>
      </c>
    </row>
    <row r="22">
      <c r="A22" s="13" t="inlineStr">
        <is>
          <t>CS-021</t>
        </is>
      </c>
      <c r="B22" s="13" t="inlineStr">
        <is>
          <t>6U</t>
        </is>
      </c>
      <c r="C22" s="13" t="inlineStr">
        <is>
          <t>Earth Observation</t>
        </is>
      </c>
      <c r="D22" s="13" t="n">
        <v>8</v>
      </c>
      <c r="E22" s="14" t="n">
        <v>2.5</v>
      </c>
      <c r="F22" s="15" t="n">
        <v>184.8</v>
      </c>
      <c r="G22" s="15" t="n">
        <v>517.92</v>
      </c>
      <c r="H22" s="15" t="n">
        <v>25.2</v>
      </c>
      <c r="I22" s="15" t="n">
        <v>23.28</v>
      </c>
      <c r="J22" s="15" t="n">
        <v>22.97</v>
      </c>
      <c r="K22" s="15" t="n">
        <v>140.6</v>
      </c>
      <c r="L22" s="15" t="n">
        <v>808.62</v>
      </c>
      <c r="M22" s="15" t="n">
        <v>351.49</v>
      </c>
      <c r="N22" s="15" t="n">
        <v>-457.13</v>
      </c>
      <c r="O22" s="16" t="n">
        <v>-56.53</v>
      </c>
      <c r="P22" s="14" t="n">
        <v>5.75</v>
      </c>
      <c r="Q22" s="14" t="n">
        <v>55.3</v>
      </c>
      <c r="R22" s="14" t="n">
        <v>72</v>
      </c>
      <c r="S22" s="14" t="n">
        <v>78</v>
      </c>
      <c r="T22" s="14" t="n">
        <v>67.3</v>
      </c>
      <c r="U22" s="13" t="inlineStr">
        <is>
          <t>Not Feasible</t>
        </is>
      </c>
    </row>
    <row r="23">
      <c r="A23" s="17" t="inlineStr">
        <is>
          <t>CS-022</t>
        </is>
      </c>
      <c r="B23" s="17" t="inlineStr">
        <is>
          <t>6U</t>
        </is>
      </c>
      <c r="C23" s="17" t="inlineStr">
        <is>
          <t>IoT Connectivity</t>
        </is>
      </c>
      <c r="D23" s="17" t="n">
        <v>8</v>
      </c>
      <c r="E23" s="18" t="n">
        <v>4</v>
      </c>
      <c r="F23" s="19" t="n">
        <v>183.75</v>
      </c>
      <c r="G23" s="19" t="n">
        <v>567.84</v>
      </c>
      <c r="H23" s="19" t="n">
        <v>28</v>
      </c>
      <c r="I23" s="19" t="n">
        <v>24.96</v>
      </c>
      <c r="J23" s="19" t="n">
        <v>23.32</v>
      </c>
      <c r="K23" s="19" t="n">
        <v>170.63</v>
      </c>
      <c r="L23" s="19" t="n">
        <v>897.83</v>
      </c>
      <c r="M23" s="19" t="n">
        <v>682.5</v>
      </c>
      <c r="N23" s="19" t="n">
        <v>-215.33</v>
      </c>
      <c r="O23" s="20" t="n">
        <v>-23.98</v>
      </c>
      <c r="P23" s="18" t="n">
        <v>5.26</v>
      </c>
      <c r="Q23" s="18" t="n">
        <v>53.2</v>
      </c>
      <c r="R23" s="18" t="n">
        <v>80</v>
      </c>
      <c r="S23" s="18" t="n">
        <v>75</v>
      </c>
      <c r="T23" s="18" t="n">
        <v>69.90000000000001</v>
      </c>
      <c r="U23" s="17" t="inlineStr">
        <is>
          <t>Not Feasible</t>
        </is>
      </c>
    </row>
    <row r="24">
      <c r="A24" s="13" t="inlineStr">
        <is>
          <t>CS-023</t>
        </is>
      </c>
      <c r="B24" s="13" t="inlineStr">
        <is>
          <t>6U</t>
        </is>
      </c>
      <c r="C24" s="13" t="inlineStr">
        <is>
          <t>AIS / Maritime Tracking</t>
        </is>
      </c>
      <c r="D24" s="13" t="n">
        <v>8</v>
      </c>
      <c r="E24" s="14" t="n">
        <v>4</v>
      </c>
      <c r="F24" s="15" t="n">
        <v>182</v>
      </c>
      <c r="G24" s="15" t="n">
        <v>617.76</v>
      </c>
      <c r="H24" s="15" t="n">
        <v>30.8</v>
      </c>
      <c r="I24" s="15" t="n">
        <v>26.64</v>
      </c>
      <c r="J24" s="15" t="n">
        <v>22.79</v>
      </c>
      <c r="K24" s="15" t="n">
        <v>125.97</v>
      </c>
      <c r="L24" s="15" t="n">
        <v>948.37</v>
      </c>
      <c r="M24" s="15" t="n">
        <v>503.88</v>
      </c>
      <c r="N24" s="15" t="n">
        <v>-444.49</v>
      </c>
      <c r="O24" s="16" t="n">
        <v>-46.87</v>
      </c>
      <c r="P24" s="14" t="n">
        <v>7.53</v>
      </c>
      <c r="Q24" s="14" t="n">
        <v>58.7</v>
      </c>
      <c r="R24" s="14" t="n">
        <v>68</v>
      </c>
      <c r="S24" s="14" t="n">
        <v>70</v>
      </c>
      <c r="T24" s="14" t="n">
        <v>62</v>
      </c>
      <c r="U24" s="13" t="inlineStr">
        <is>
          <t>Not Feasible</t>
        </is>
      </c>
    </row>
    <row r="25">
      <c r="A25" s="17" t="inlineStr">
        <is>
          <t>CS-024</t>
        </is>
      </c>
      <c r="B25" s="17" t="inlineStr">
        <is>
          <t>6U</t>
        </is>
      </c>
      <c r="C25" s="17" t="inlineStr">
        <is>
          <t>Weather Data</t>
        </is>
      </c>
      <c r="D25" s="17" t="n">
        <v>8</v>
      </c>
      <c r="E25" s="18" t="n">
        <v>3.5</v>
      </c>
      <c r="F25" s="19" t="n">
        <v>185.5</v>
      </c>
      <c r="G25" s="19" t="n">
        <v>468</v>
      </c>
      <c r="H25" s="19" t="n">
        <v>25.2</v>
      </c>
      <c r="I25" s="19" t="n">
        <v>21.6</v>
      </c>
      <c r="J25" s="19" t="n">
        <v>23.06</v>
      </c>
      <c r="K25" s="19" t="n">
        <v>154.73</v>
      </c>
      <c r="L25" s="19" t="n">
        <v>781</v>
      </c>
      <c r="M25" s="19" t="n">
        <v>541.5599999999999</v>
      </c>
      <c r="N25" s="19" t="n">
        <v>-239.43</v>
      </c>
      <c r="O25" s="20" t="n">
        <v>-30.66</v>
      </c>
      <c r="P25" s="18" t="n">
        <v>5.05</v>
      </c>
      <c r="Q25" s="18" t="n">
        <v>54.1</v>
      </c>
      <c r="R25" s="18" t="n">
        <v>74</v>
      </c>
      <c r="S25" s="18" t="n">
        <v>80</v>
      </c>
      <c r="T25" s="18" t="n">
        <v>69.09999999999999</v>
      </c>
      <c r="U25" s="17" t="inlineStr">
        <is>
          <t>Not Feasible</t>
        </is>
      </c>
    </row>
    <row r="26">
      <c r="A26" s="13" t="inlineStr">
        <is>
          <t>CS-025</t>
        </is>
      </c>
      <c r="B26" s="13" t="inlineStr">
        <is>
          <t>6U</t>
        </is>
      </c>
      <c r="C26" s="13" t="inlineStr">
        <is>
          <t>Technology Demonstration</t>
        </is>
      </c>
      <c r="D26" s="13" t="n">
        <v>8</v>
      </c>
      <c r="E26" s="14" t="n">
        <v>2</v>
      </c>
      <c r="F26" s="15" t="n">
        <v>177.8</v>
      </c>
      <c r="G26" s="15" t="n">
        <v>517.92</v>
      </c>
      <c r="H26" s="15" t="n">
        <v>28</v>
      </c>
      <c r="I26" s="15" t="n">
        <v>23.28</v>
      </c>
      <c r="J26" s="15" t="n">
        <v>22.44</v>
      </c>
      <c r="K26" s="15" t="n">
        <v>45.5</v>
      </c>
      <c r="L26" s="15" t="n">
        <v>791.88</v>
      </c>
      <c r="M26" s="15" t="n">
        <v>91</v>
      </c>
      <c r="N26" s="15" t="n">
        <v>-700.88</v>
      </c>
      <c r="O26" s="16" t="n">
        <v>-88.51000000000001</v>
      </c>
      <c r="P26" s="14" t="n">
        <v>17.4</v>
      </c>
      <c r="Q26" s="14" t="n">
        <v>64.5</v>
      </c>
      <c r="R26" s="14" t="n">
        <v>60</v>
      </c>
      <c r="S26" s="14" t="n">
        <v>58</v>
      </c>
      <c r="T26" s="14" t="n">
        <v>53.2</v>
      </c>
      <c r="U26" s="13" t="inlineStr">
        <is>
          <t>Not Feasible</t>
        </is>
      </c>
    </row>
    <row r="27">
      <c r="A27" s="17" t="inlineStr">
        <is>
          <t>CS-026</t>
        </is>
      </c>
      <c r="B27" s="17" t="inlineStr">
        <is>
          <t>6U</t>
        </is>
      </c>
      <c r="C27" s="17" t="inlineStr">
        <is>
          <t>Agriculture Analytics</t>
        </is>
      </c>
      <c r="D27" s="17" t="n">
        <v>8</v>
      </c>
      <c r="E27" s="18" t="n">
        <v>3.5</v>
      </c>
      <c r="F27" s="19" t="n">
        <v>182.7</v>
      </c>
      <c r="G27" s="19" t="n">
        <v>567.84</v>
      </c>
      <c r="H27" s="19" t="n">
        <v>30.8</v>
      </c>
      <c r="I27" s="19" t="n">
        <v>24.96</v>
      </c>
      <c r="J27" s="19" t="n">
        <v>23.14</v>
      </c>
      <c r="K27" s="19" t="n">
        <v>114.92</v>
      </c>
      <c r="L27" s="19" t="n">
        <v>887.3</v>
      </c>
      <c r="M27" s="19" t="n">
        <v>402.22</v>
      </c>
      <c r="N27" s="19" t="n">
        <v>-485.08</v>
      </c>
      <c r="O27" s="20" t="n">
        <v>-54.67</v>
      </c>
      <c r="P27" s="18" t="n">
        <v>7.72</v>
      </c>
      <c r="Q27" s="18" t="n">
        <v>55.4</v>
      </c>
      <c r="R27" s="18" t="n">
        <v>76</v>
      </c>
      <c r="S27" s="18" t="n">
        <v>72</v>
      </c>
      <c r="T27" s="18" t="n">
        <v>66.8</v>
      </c>
      <c r="U27" s="17" t="inlineStr">
        <is>
          <t>Not Feasible</t>
        </is>
      </c>
    </row>
    <row r="28">
      <c r="A28" s="13" t="inlineStr">
        <is>
          <t>CS-027</t>
        </is>
      </c>
      <c r="B28" s="13" t="inlineStr">
        <is>
          <t>6U</t>
        </is>
      </c>
      <c r="C28" s="13" t="inlineStr">
        <is>
          <t>Disaster Monitoring</t>
        </is>
      </c>
      <c r="D28" s="13" t="n">
        <v>8</v>
      </c>
      <c r="E28" s="14" t="n">
        <v>2.5</v>
      </c>
      <c r="F28" s="15" t="n">
        <v>186.2</v>
      </c>
      <c r="G28" s="15" t="n">
        <v>617.76</v>
      </c>
      <c r="H28" s="15" t="n">
        <v>25.2</v>
      </c>
      <c r="I28" s="15" t="n">
        <v>26.64</v>
      </c>
      <c r="J28" s="15" t="n">
        <v>22.88</v>
      </c>
      <c r="K28" s="15" t="n">
        <v>119.93</v>
      </c>
      <c r="L28" s="15" t="n">
        <v>913</v>
      </c>
      <c r="M28" s="15" t="n">
        <v>299.81</v>
      </c>
      <c r="N28" s="15" t="n">
        <v>-613.1900000000001</v>
      </c>
      <c r="O28" s="16" t="n">
        <v>-67.16</v>
      </c>
      <c r="P28" s="14" t="n">
        <v>7.61</v>
      </c>
      <c r="Q28" s="14" t="n">
        <v>55</v>
      </c>
      <c r="R28" s="14" t="n">
        <v>70</v>
      </c>
      <c r="S28" s="14" t="n">
        <v>82</v>
      </c>
      <c r="T28" s="14" t="n">
        <v>68</v>
      </c>
      <c r="U28" s="13" t="inlineStr">
        <is>
          <t>Not Feasible</t>
        </is>
      </c>
    </row>
    <row r="29">
      <c r="A29" s="17" t="inlineStr">
        <is>
          <t>CS-028</t>
        </is>
      </c>
      <c r="B29" s="17" t="inlineStr">
        <is>
          <t>6U</t>
        </is>
      </c>
      <c r="C29" s="17" t="inlineStr">
        <is>
          <t>RF / Spectrum Monitoring</t>
        </is>
      </c>
      <c r="D29" s="17" t="n">
        <v>8</v>
      </c>
      <c r="E29" s="18" t="n">
        <v>3.5</v>
      </c>
      <c r="F29" s="19" t="n">
        <v>180.95</v>
      </c>
      <c r="G29" s="19" t="n">
        <v>468</v>
      </c>
      <c r="H29" s="19" t="n">
        <v>28</v>
      </c>
      <c r="I29" s="19" t="n">
        <v>21.6</v>
      </c>
      <c r="J29" s="19" t="n">
        <v>22.66</v>
      </c>
      <c r="K29" s="19" t="n">
        <v>131.63</v>
      </c>
      <c r="L29" s="19" t="n">
        <v>777.86</v>
      </c>
      <c r="M29" s="19" t="n">
        <v>460.69</v>
      </c>
      <c r="N29" s="19" t="n">
        <v>-317.17</v>
      </c>
      <c r="O29" s="20" t="n">
        <v>-40.78</v>
      </c>
      <c r="P29" s="18" t="n">
        <v>5.91</v>
      </c>
      <c r="Q29" s="18" t="n">
        <v>60.5</v>
      </c>
      <c r="R29" s="18" t="n">
        <v>65</v>
      </c>
      <c r="S29" s="18" t="n">
        <v>67</v>
      </c>
      <c r="T29" s="18" t="n">
        <v>59.3</v>
      </c>
      <c r="U29" s="17" t="inlineStr">
        <is>
          <t>Not Feasible</t>
        </is>
      </c>
    </row>
    <row r="30">
      <c r="A30" s="13" t="inlineStr">
        <is>
          <t>CS-029</t>
        </is>
      </c>
      <c r="B30" s="13" t="inlineStr">
        <is>
          <t>6U</t>
        </is>
      </c>
      <c r="C30" s="13" t="inlineStr">
        <is>
          <t>Asset Tracking</t>
        </is>
      </c>
      <c r="D30" s="13" t="n">
        <v>8</v>
      </c>
      <c r="E30" s="14" t="n">
        <v>3.5</v>
      </c>
      <c r="F30" s="15" t="n">
        <v>181.65</v>
      </c>
      <c r="G30" s="15" t="n">
        <v>517.92</v>
      </c>
      <c r="H30" s="15" t="n">
        <v>30.8</v>
      </c>
      <c r="I30" s="15" t="n">
        <v>23.28</v>
      </c>
      <c r="J30" s="15" t="n">
        <v>23.19</v>
      </c>
      <c r="K30" s="15" t="n">
        <v>108.42</v>
      </c>
      <c r="L30" s="15" t="n">
        <v>834.8099999999999</v>
      </c>
      <c r="M30" s="15" t="n">
        <v>379.47</v>
      </c>
      <c r="N30" s="15" t="n">
        <v>-455.34</v>
      </c>
      <c r="O30" s="16" t="n">
        <v>-54.54</v>
      </c>
      <c r="P30" s="14" t="n">
        <v>7.7</v>
      </c>
      <c r="Q30" s="14" t="n">
        <v>55.8</v>
      </c>
      <c r="R30" s="14" t="n">
        <v>77</v>
      </c>
      <c r="S30" s="14" t="n">
        <v>69</v>
      </c>
      <c r="T30" s="14" t="n">
        <v>66</v>
      </c>
      <c r="U30" s="13" t="inlineStr">
        <is>
          <t>Not Feasible</t>
        </is>
      </c>
    </row>
    <row r="31">
      <c r="A31" s="17" t="inlineStr">
        <is>
          <t>CS-030</t>
        </is>
      </c>
      <c r="B31" s="17" t="inlineStr">
        <is>
          <t>6U</t>
        </is>
      </c>
      <c r="C31" s="17" t="inlineStr">
        <is>
          <t>Space Situational Awareness</t>
        </is>
      </c>
      <c r="D31" s="17" t="n">
        <v>8</v>
      </c>
      <c r="E31" s="18" t="n">
        <v>2</v>
      </c>
      <c r="F31" s="19" t="n">
        <v>183.75</v>
      </c>
      <c r="G31" s="19" t="n">
        <v>567.84</v>
      </c>
      <c r="H31" s="19" t="n">
        <v>25.2</v>
      </c>
      <c r="I31" s="19" t="n">
        <v>24.96</v>
      </c>
      <c r="J31" s="19" t="n">
        <v>22.53</v>
      </c>
      <c r="K31" s="19" t="n">
        <v>91.45</v>
      </c>
      <c r="L31" s="19" t="n">
        <v>846.8099999999999</v>
      </c>
      <c r="M31" s="19" t="n">
        <v>182.91</v>
      </c>
      <c r="N31" s="19" t="n">
        <v>-663.9</v>
      </c>
      <c r="O31" s="20" t="n">
        <v>-78.40000000000001</v>
      </c>
      <c r="P31" s="18" t="n">
        <v>9.26</v>
      </c>
      <c r="Q31" s="18" t="n">
        <v>59.5</v>
      </c>
      <c r="R31" s="18" t="n">
        <v>62</v>
      </c>
      <c r="S31" s="18" t="n">
        <v>75</v>
      </c>
      <c r="T31" s="18" t="n">
        <v>61.2</v>
      </c>
      <c r="U31" s="17" t="inlineStr">
        <is>
          <t>Not Feasible</t>
        </is>
      </c>
    </row>
    <row r="32">
      <c r="A32" s="13" t="inlineStr">
        <is>
          <t>CS-031</t>
        </is>
      </c>
      <c r="B32" s="13" t="inlineStr">
        <is>
          <t>12U</t>
        </is>
      </c>
      <c r="C32" s="13" t="inlineStr">
        <is>
          <t>Earth Observation</t>
        </is>
      </c>
      <c r="D32" s="13" t="n">
        <v>16</v>
      </c>
      <c r="E32" s="14" t="n">
        <v>3</v>
      </c>
      <c r="F32" s="15" t="n">
        <v>337.92</v>
      </c>
      <c r="G32" s="15" t="n">
        <v>1077.12</v>
      </c>
      <c r="H32" s="15" t="n">
        <v>45</v>
      </c>
      <c r="I32" s="15" t="n">
        <v>42.18</v>
      </c>
      <c r="J32" s="15" t="n">
        <v>37.58</v>
      </c>
      <c r="K32" s="15" t="n">
        <v>142.76</v>
      </c>
      <c r="L32" s="15" t="n">
        <v>1614.97</v>
      </c>
      <c r="M32" s="15" t="n">
        <v>428.27</v>
      </c>
      <c r="N32" s="15" t="n">
        <v>-1186.7</v>
      </c>
      <c r="O32" s="16" t="n">
        <v>-73.48</v>
      </c>
      <c r="P32" s="14" t="n">
        <v>11.31</v>
      </c>
      <c r="Q32" s="14" t="n">
        <v>63.3</v>
      </c>
      <c r="R32" s="14" t="n">
        <v>72</v>
      </c>
      <c r="S32" s="14" t="n">
        <v>78</v>
      </c>
      <c r="T32" s="14" t="n">
        <v>65.3</v>
      </c>
      <c r="U32" s="13" t="inlineStr">
        <is>
          <t>Not Feasible</t>
        </is>
      </c>
    </row>
    <row r="33">
      <c r="A33" s="17" t="inlineStr">
        <is>
          <t>CS-032</t>
        </is>
      </c>
      <c r="B33" s="17" t="inlineStr">
        <is>
          <t>12U</t>
        </is>
      </c>
      <c r="C33" s="17" t="inlineStr">
        <is>
          <t>IoT Connectivity</t>
        </is>
      </c>
      <c r="D33" s="17" t="n">
        <v>16</v>
      </c>
      <c r="E33" s="18" t="n">
        <v>4.5</v>
      </c>
      <c r="F33" s="19" t="n">
        <v>336</v>
      </c>
      <c r="G33" s="19" t="n">
        <v>816</v>
      </c>
      <c r="H33" s="19" t="n">
        <v>49.5</v>
      </c>
      <c r="I33" s="19" t="n">
        <v>34.2</v>
      </c>
      <c r="J33" s="19" t="n">
        <v>38.16</v>
      </c>
      <c r="K33" s="19" t="n">
        <v>173.25</v>
      </c>
      <c r="L33" s="19" t="n">
        <v>1407.42</v>
      </c>
      <c r="M33" s="19" t="n">
        <v>779.62</v>
      </c>
      <c r="N33" s="19" t="n">
        <v>-627.8</v>
      </c>
      <c r="O33" s="20" t="n">
        <v>-44.61</v>
      </c>
      <c r="P33" s="18" t="n">
        <v>8.119999999999999</v>
      </c>
      <c r="Q33" s="18" t="n">
        <v>61.2</v>
      </c>
      <c r="R33" s="18" t="n">
        <v>80</v>
      </c>
      <c r="S33" s="18" t="n">
        <v>75</v>
      </c>
      <c r="T33" s="18" t="n">
        <v>67.90000000000001</v>
      </c>
      <c r="U33" s="17" t="inlineStr">
        <is>
          <t>Not Feasible</t>
        </is>
      </c>
    </row>
    <row r="34">
      <c r="A34" s="13" t="inlineStr">
        <is>
          <t>CS-033</t>
        </is>
      </c>
      <c r="B34" s="13" t="inlineStr">
        <is>
          <t>12U</t>
        </is>
      </c>
      <c r="C34" s="13" t="inlineStr">
        <is>
          <t>AIS / Maritime Tracking</t>
        </is>
      </c>
      <c r="D34" s="13" t="n">
        <v>16</v>
      </c>
      <c r="E34" s="14" t="n">
        <v>3</v>
      </c>
      <c r="F34" s="15" t="n">
        <v>332.8</v>
      </c>
      <c r="G34" s="15" t="n">
        <v>903.04</v>
      </c>
      <c r="H34" s="15" t="n">
        <v>40.5</v>
      </c>
      <c r="I34" s="15" t="n">
        <v>36.86</v>
      </c>
      <c r="J34" s="15" t="n">
        <v>37.3</v>
      </c>
      <c r="K34" s="15" t="n">
        <v>127.91</v>
      </c>
      <c r="L34" s="15" t="n">
        <v>1425.09</v>
      </c>
      <c r="M34" s="15" t="n">
        <v>383.72</v>
      </c>
      <c r="N34" s="15" t="n">
        <v>-1041.36</v>
      </c>
      <c r="O34" s="16" t="n">
        <v>-73.06999999999999</v>
      </c>
      <c r="P34" s="14" t="n">
        <v>11.14</v>
      </c>
      <c r="Q34" s="14" t="n">
        <v>66.7</v>
      </c>
      <c r="R34" s="14" t="n">
        <v>68</v>
      </c>
      <c r="S34" s="14" t="n">
        <v>70</v>
      </c>
      <c r="T34" s="14" t="n">
        <v>60</v>
      </c>
      <c r="U34" s="13" t="inlineStr">
        <is>
          <t>Not Feasible</t>
        </is>
      </c>
    </row>
    <row r="35">
      <c r="A35" s="17" t="inlineStr">
        <is>
          <t>CS-034</t>
        </is>
      </c>
      <c r="B35" s="17" t="inlineStr">
        <is>
          <t>12U</t>
        </is>
      </c>
      <c r="C35" s="17" t="inlineStr">
        <is>
          <t>Weather Data</t>
        </is>
      </c>
      <c r="D35" s="17" t="n">
        <v>16</v>
      </c>
      <c r="E35" s="18" t="n">
        <v>4</v>
      </c>
      <c r="F35" s="19" t="n">
        <v>339.2</v>
      </c>
      <c r="G35" s="19" t="n">
        <v>990.08</v>
      </c>
      <c r="H35" s="19" t="n">
        <v>45</v>
      </c>
      <c r="I35" s="19" t="n">
        <v>39.52</v>
      </c>
      <c r="J35" s="19" t="n">
        <v>37.73</v>
      </c>
      <c r="K35" s="19" t="n">
        <v>157.11</v>
      </c>
      <c r="L35" s="19" t="n">
        <v>1564.71</v>
      </c>
      <c r="M35" s="19" t="n">
        <v>628.45</v>
      </c>
      <c r="N35" s="19" t="n">
        <v>-936.26</v>
      </c>
      <c r="O35" s="20" t="n">
        <v>-59.84</v>
      </c>
      <c r="P35" s="18" t="n">
        <v>9.960000000000001</v>
      </c>
      <c r="Q35" s="18" t="n">
        <v>62.1</v>
      </c>
      <c r="R35" s="18" t="n">
        <v>74</v>
      </c>
      <c r="S35" s="18" t="n">
        <v>80</v>
      </c>
      <c r="T35" s="18" t="n">
        <v>67.09999999999999</v>
      </c>
      <c r="U35" s="17" t="inlineStr">
        <is>
          <t>Not Feasible</t>
        </is>
      </c>
    </row>
    <row r="36">
      <c r="A36" s="13" t="inlineStr">
        <is>
          <t>CS-035</t>
        </is>
      </c>
      <c r="B36" s="13" t="inlineStr">
        <is>
          <t>12U</t>
        </is>
      </c>
      <c r="C36" s="13" t="inlineStr">
        <is>
          <t>Technology Demonstration</t>
        </is>
      </c>
      <c r="D36" s="13" t="n">
        <v>16</v>
      </c>
      <c r="E36" s="14" t="n">
        <v>2.5</v>
      </c>
      <c r="F36" s="15" t="n">
        <v>325.12</v>
      </c>
      <c r="G36" s="15" t="n">
        <v>1077.12</v>
      </c>
      <c r="H36" s="15" t="n">
        <v>49.5</v>
      </c>
      <c r="I36" s="15" t="n">
        <v>42.18</v>
      </c>
      <c r="J36" s="15" t="n">
        <v>36.72</v>
      </c>
      <c r="K36" s="15" t="n">
        <v>46.2</v>
      </c>
      <c r="L36" s="15" t="n">
        <v>1585.72</v>
      </c>
      <c r="M36" s="15" t="n">
        <v>115.5</v>
      </c>
      <c r="N36" s="15" t="n">
        <v>-1470.22</v>
      </c>
      <c r="O36" s="16" t="n">
        <v>-92.72</v>
      </c>
      <c r="P36" s="14" t="n">
        <v>34.32</v>
      </c>
      <c r="Q36" s="14" t="n">
        <v>72.5</v>
      </c>
      <c r="R36" s="14" t="n">
        <v>60</v>
      </c>
      <c r="S36" s="14" t="n">
        <v>58</v>
      </c>
      <c r="T36" s="14" t="n">
        <v>51.2</v>
      </c>
      <c r="U36" s="13" t="inlineStr">
        <is>
          <t>Not Feasible</t>
        </is>
      </c>
    </row>
    <row r="37">
      <c r="A37" s="17" t="inlineStr">
        <is>
          <t>CS-036</t>
        </is>
      </c>
      <c r="B37" s="17" t="inlineStr">
        <is>
          <t>12U</t>
        </is>
      </c>
      <c r="C37" s="17" t="inlineStr">
        <is>
          <t>Agriculture Analytics</t>
        </is>
      </c>
      <c r="D37" s="17" t="n">
        <v>16</v>
      </c>
      <c r="E37" s="18" t="n">
        <v>2.5</v>
      </c>
      <c r="F37" s="19" t="n">
        <v>334.08</v>
      </c>
      <c r="G37" s="19" t="n">
        <v>816</v>
      </c>
      <c r="H37" s="19" t="n">
        <v>40.5</v>
      </c>
      <c r="I37" s="19" t="n">
        <v>34.2</v>
      </c>
      <c r="J37" s="19" t="n">
        <v>37.87</v>
      </c>
      <c r="K37" s="19" t="n">
        <v>116.69</v>
      </c>
      <c r="L37" s="19" t="n">
        <v>1319.46</v>
      </c>
      <c r="M37" s="19" t="n">
        <v>291.72</v>
      </c>
      <c r="N37" s="19" t="n">
        <v>-1027.74</v>
      </c>
      <c r="O37" s="20" t="n">
        <v>-77.89</v>
      </c>
      <c r="P37" s="18" t="n">
        <v>11.31</v>
      </c>
      <c r="Q37" s="18" t="n">
        <v>63.4</v>
      </c>
      <c r="R37" s="18" t="n">
        <v>76</v>
      </c>
      <c r="S37" s="18" t="n">
        <v>72</v>
      </c>
      <c r="T37" s="18" t="n">
        <v>64.8</v>
      </c>
      <c r="U37" s="17" t="inlineStr">
        <is>
          <t>Not Feasible</t>
        </is>
      </c>
    </row>
    <row r="38">
      <c r="A38" s="13" t="inlineStr">
        <is>
          <t>CS-037</t>
        </is>
      </c>
      <c r="B38" s="13" t="inlineStr">
        <is>
          <t>12U</t>
        </is>
      </c>
      <c r="C38" s="13" t="inlineStr">
        <is>
          <t>Disaster Monitoring</t>
        </is>
      </c>
      <c r="D38" s="13" t="n">
        <v>16</v>
      </c>
      <c r="E38" s="14" t="n">
        <v>3</v>
      </c>
      <c r="F38" s="15" t="n">
        <v>340.48</v>
      </c>
      <c r="G38" s="15" t="n">
        <v>903.04</v>
      </c>
      <c r="H38" s="15" t="n">
        <v>45</v>
      </c>
      <c r="I38" s="15" t="n">
        <v>36.86</v>
      </c>
      <c r="J38" s="15" t="n">
        <v>37.44</v>
      </c>
      <c r="K38" s="15" t="n">
        <v>121.77</v>
      </c>
      <c r="L38" s="15" t="n">
        <v>1437.7</v>
      </c>
      <c r="M38" s="15" t="n">
        <v>365.31</v>
      </c>
      <c r="N38" s="15" t="n">
        <v>-1072.39</v>
      </c>
      <c r="O38" s="16" t="n">
        <v>-74.59</v>
      </c>
      <c r="P38" s="14" t="n">
        <v>11.81</v>
      </c>
      <c r="Q38" s="14" t="n">
        <v>63</v>
      </c>
      <c r="R38" s="14" t="n">
        <v>70</v>
      </c>
      <c r="S38" s="14" t="n">
        <v>82</v>
      </c>
      <c r="T38" s="14" t="n">
        <v>66</v>
      </c>
      <c r="U38" s="13" t="inlineStr">
        <is>
          <t>Not Feasible</t>
        </is>
      </c>
    </row>
    <row r="39">
      <c r="A39" s="17" t="inlineStr">
        <is>
          <t>CS-038</t>
        </is>
      </c>
      <c r="B39" s="17" t="inlineStr">
        <is>
          <t>12U</t>
        </is>
      </c>
      <c r="C39" s="17" t="inlineStr">
        <is>
          <t>RF / Spectrum Monitoring</t>
        </is>
      </c>
      <c r="D39" s="17" t="n">
        <v>16</v>
      </c>
      <c r="E39" s="18" t="n">
        <v>4</v>
      </c>
      <c r="F39" s="19" t="n">
        <v>330.88</v>
      </c>
      <c r="G39" s="19" t="n">
        <v>990.08</v>
      </c>
      <c r="H39" s="19" t="n">
        <v>49.5</v>
      </c>
      <c r="I39" s="19" t="n">
        <v>39.52</v>
      </c>
      <c r="J39" s="19" t="n">
        <v>37.08</v>
      </c>
      <c r="K39" s="19" t="n">
        <v>133.65</v>
      </c>
      <c r="L39" s="19" t="n">
        <v>1558.3</v>
      </c>
      <c r="M39" s="19" t="n">
        <v>534.6</v>
      </c>
      <c r="N39" s="19" t="n">
        <v>-1023.7</v>
      </c>
      <c r="O39" s="20" t="n">
        <v>-65.69</v>
      </c>
      <c r="P39" s="18" t="n">
        <v>11.66</v>
      </c>
      <c r="Q39" s="18" t="n">
        <v>68.5</v>
      </c>
      <c r="R39" s="18" t="n">
        <v>65</v>
      </c>
      <c r="S39" s="18" t="n">
        <v>67</v>
      </c>
      <c r="T39" s="18" t="n">
        <v>57.3</v>
      </c>
      <c r="U39" s="17" t="inlineStr">
        <is>
          <t>Not Feasible</t>
        </is>
      </c>
    </row>
    <row r="40">
      <c r="A40" s="13" t="inlineStr">
        <is>
          <t>CS-039</t>
        </is>
      </c>
      <c r="B40" s="13" t="inlineStr">
        <is>
          <t>12U</t>
        </is>
      </c>
      <c r="C40" s="13" t="inlineStr">
        <is>
          <t>Asset Tracking</t>
        </is>
      </c>
      <c r="D40" s="13" t="n">
        <v>16</v>
      </c>
      <c r="E40" s="14" t="n">
        <v>2.5</v>
      </c>
      <c r="F40" s="15" t="n">
        <v>332.16</v>
      </c>
      <c r="G40" s="15" t="n">
        <v>1077.12</v>
      </c>
      <c r="H40" s="15" t="n">
        <v>40.5</v>
      </c>
      <c r="I40" s="15" t="n">
        <v>42.18</v>
      </c>
      <c r="J40" s="15" t="n">
        <v>37.94</v>
      </c>
      <c r="K40" s="15" t="n">
        <v>110.09</v>
      </c>
      <c r="L40" s="15" t="n">
        <v>1586.82</v>
      </c>
      <c r="M40" s="15" t="n">
        <v>275.22</v>
      </c>
      <c r="N40" s="15" t="n">
        <v>-1311.6</v>
      </c>
      <c r="O40" s="16" t="n">
        <v>-82.66</v>
      </c>
      <c r="P40" s="14" t="n">
        <v>14.41</v>
      </c>
      <c r="Q40" s="14" t="n">
        <v>63.8</v>
      </c>
      <c r="R40" s="14" t="n">
        <v>77</v>
      </c>
      <c r="S40" s="14" t="n">
        <v>69</v>
      </c>
      <c r="T40" s="14" t="n">
        <v>64</v>
      </c>
      <c r="U40" s="13" t="inlineStr">
        <is>
          <t>Not Feasible</t>
        </is>
      </c>
    </row>
    <row r="41">
      <c r="A41" s="17" t="inlineStr">
        <is>
          <t>CS-040</t>
        </is>
      </c>
      <c r="B41" s="17" t="inlineStr">
        <is>
          <t>12U</t>
        </is>
      </c>
      <c r="C41" s="17" t="inlineStr">
        <is>
          <t>Space Situational Awareness</t>
        </is>
      </c>
      <c r="D41" s="17" t="n">
        <v>16</v>
      </c>
      <c r="E41" s="18" t="n">
        <v>2.5</v>
      </c>
      <c r="F41" s="19" t="n">
        <v>336</v>
      </c>
      <c r="G41" s="19" t="n">
        <v>816</v>
      </c>
      <c r="H41" s="19" t="n">
        <v>45</v>
      </c>
      <c r="I41" s="19" t="n">
        <v>34.2</v>
      </c>
      <c r="J41" s="19" t="n">
        <v>36.86</v>
      </c>
      <c r="K41" s="19" t="n">
        <v>92.86</v>
      </c>
      <c r="L41" s="19" t="n">
        <v>1323.36</v>
      </c>
      <c r="M41" s="19" t="n">
        <v>232.15</v>
      </c>
      <c r="N41" s="19" t="n">
        <v>-1091.21</v>
      </c>
      <c r="O41" s="20" t="n">
        <v>-82.45999999999999</v>
      </c>
      <c r="P41" s="18" t="n">
        <v>14.25</v>
      </c>
      <c r="Q41" s="18" t="n">
        <v>67.5</v>
      </c>
      <c r="R41" s="18" t="n">
        <v>62</v>
      </c>
      <c r="S41" s="18" t="n">
        <v>75</v>
      </c>
      <c r="T41" s="18" t="n">
        <v>59.2</v>
      </c>
      <c r="U41" s="17" t="inlineStr">
        <is>
          <t>Not Feasible</t>
        </is>
      </c>
    </row>
  </sheetData>
  <autoFilter ref="A1:U41"/>
  <conditionalFormatting sqref="O2:O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41">
    <cfRule type="cellIs" priority="2" operator="equal" dxfId="0">
      <formula>"Feasible"</formula>
    </cfRule>
    <cfRule type="cellIs" priority="3" operator="equal" dxfId="1">
      <formula>"Not Feasible"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28" customWidth="1" min="4" max="4"/>
    <col width="23" customWidth="1" min="5" max="5"/>
    <col width="22" customWidth="1" min="6" max="6"/>
  </cols>
  <sheetData>
    <row r="1">
      <c r="A1" s="21" t="inlineStr">
        <is>
          <t>MODEL ASSUMPTIONS (ILLUSTRATIVE)</t>
        </is>
      </c>
    </row>
    <row r="3">
      <c r="A3" s="22" t="inlineStr">
        <is>
          <t>CubeSat Class</t>
        </is>
      </c>
      <c r="B3" s="22" t="inlineStr">
        <is>
          <t>Approx. Mass (kg)</t>
        </is>
      </c>
      <c r="C3" s="22" t="inlineStr">
        <is>
          <t>Base Development Cost ($000)</t>
        </is>
      </c>
      <c r="D3" s="22" t="inlineStr">
        <is>
          <t>Launch Cost Rate ($000/kg)</t>
        </is>
      </c>
      <c r="E3" s="22" t="inlineStr">
        <is>
          <t>Integration Cost ($000)</t>
        </is>
      </c>
      <c r="F3" s="22" t="inlineStr">
        <is>
          <t>Testing Cost ($000)</t>
        </is>
      </c>
    </row>
    <row r="4">
      <c r="A4" t="inlineStr">
        <is>
          <t>1U</t>
        </is>
      </c>
      <c r="B4" t="n">
        <v>1.33</v>
      </c>
      <c r="C4" t="n">
        <v>45</v>
      </c>
      <c r="D4" t="n">
        <v>110</v>
      </c>
      <c r="E4" t="n">
        <v>12</v>
      </c>
      <c r="F4" t="n">
        <v>10</v>
      </c>
    </row>
    <row r="5">
      <c r="A5" t="inlineStr">
        <is>
          <t>3U</t>
        </is>
      </c>
      <c r="B5" t="n">
        <v>4</v>
      </c>
      <c r="C5" t="n">
        <v>95</v>
      </c>
      <c r="D5" t="n">
        <v>90</v>
      </c>
      <c r="E5" t="n">
        <v>18</v>
      </c>
      <c r="F5" t="n">
        <v>16</v>
      </c>
    </row>
    <row r="6">
      <c r="A6" t="inlineStr">
        <is>
          <t>6U</t>
        </is>
      </c>
      <c r="B6" t="n">
        <v>8</v>
      </c>
      <c r="C6" t="n">
        <v>175</v>
      </c>
      <c r="D6" t="n">
        <v>78</v>
      </c>
      <c r="E6" t="n">
        <v>28</v>
      </c>
      <c r="F6" t="n">
        <v>24</v>
      </c>
    </row>
    <row r="7">
      <c r="A7" t="inlineStr">
        <is>
          <t>12U</t>
        </is>
      </c>
      <c r="B7" t="n">
        <v>16</v>
      </c>
      <c r="C7" t="n">
        <v>320</v>
      </c>
      <c r="D7" t="n">
        <v>68</v>
      </c>
      <c r="E7" t="n">
        <v>45</v>
      </c>
      <c r="F7" t="n">
        <v>38</v>
      </c>
    </row>
    <row r="10">
      <c r="A10" s="23" t="inlineStr">
        <is>
          <t>Additional modelling assumptions</t>
        </is>
      </c>
    </row>
    <row r="11" ht="30" customHeight="1">
      <c r="A11" s="24" t="inlineStr">
        <is>
          <t>All monetary values are expressed in USD thousands ($000), unless the column says otherwise.</t>
        </is>
      </c>
    </row>
    <row r="12" ht="30" customHeight="1">
      <c r="A12" s="24" t="inlineStr">
        <is>
          <t>Scenario revenues, lifetimes, scores, cost multipliers and rates are illustrative assumptions for a student project; they are not verified market quotations.</t>
        </is>
      </c>
    </row>
    <row r="13" ht="30" customHeight="1">
      <c r="A13" s="24" t="inlineStr">
        <is>
          <t>Operating cost is annual and multiplied by assumed mission lifetime to estimate total cost.</t>
        </is>
      </c>
    </row>
    <row r="14" ht="30" customHeight="1">
      <c r="A14" s="24" t="inlineStr">
        <is>
          <t>Total Revenue = Annual Revenue × Mission Lifetime.</t>
        </is>
      </c>
    </row>
    <row r="15" ht="30" customHeight="1">
      <c r="A15" s="24" t="inlineStr">
        <is>
          <t>Net Profit = Total Revenue − Total Cost.</t>
        </is>
      </c>
    </row>
    <row r="16" ht="30" customHeight="1">
      <c r="A16" s="24" t="inlineStr">
        <is>
          <t>ROI (%) = (Total Revenue − Total Cost) ÷ Total Cost × 100.</t>
        </is>
      </c>
    </row>
    <row r="17" ht="30" customHeight="1">
      <c r="A17" s="24" t="inlineStr">
        <is>
          <t>Break-even (years) = Total Cost ÷ Annual Revenue; assumes revenue begins immediately and is constant.</t>
        </is>
      </c>
    </row>
    <row r="18" ht="30" customHeight="1">
      <c r="A18" s="24" t="inlineStr">
        <is>
          <t>Risk Score is a heuristic score where higher values indicate greater risk. It is not a calibrated probability of mission failure.</t>
        </is>
      </c>
    </row>
    <row r="19" ht="30" customHeight="1">
      <c r="A19" s="24" t="inlineStr">
        <is>
          <t>Feasibility Score combines demand, payload-fit and inverse-risk indicators; it is a decision-support heuristic, not engineering certification.</t>
        </is>
      </c>
    </row>
  </sheetData>
  <mergeCells count="10">
    <mergeCell ref="A16:F16"/>
    <mergeCell ref="A11:F11"/>
    <mergeCell ref="A13:F13"/>
    <mergeCell ref="A14:F14"/>
    <mergeCell ref="A19:F19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21" t="inlineStr">
        <is>
          <t>METHODOLOGY &amp; BUSINESS QUESTIONS</t>
        </is>
      </c>
    </row>
    <row r="3">
      <c r="A3" s="8" t="inlineStr">
        <is>
          <t>Item</t>
        </is>
      </c>
      <c r="B3" s="8" t="inlineStr">
        <is>
          <t>Explanation</t>
        </is>
      </c>
    </row>
    <row r="4" ht="38" customHeight="1">
      <c r="A4" s="25" t="inlineStr">
        <is>
          <t>Objective</t>
        </is>
      </c>
      <c r="B4" s="24" t="inlineStr">
        <is>
          <t>Compare 40 hypothetical CubeSat mission scenarios across four satellite classes and ten mission types.</t>
        </is>
      </c>
    </row>
    <row r="5" ht="38" customHeight="1">
      <c r="A5" s="25" t="inlineStr">
        <is>
          <t>Business question 1</t>
        </is>
      </c>
      <c r="B5" s="24" t="inlineStr">
        <is>
          <t>Which mission/satellite combinations have the strongest estimated ROI?</t>
        </is>
      </c>
    </row>
    <row r="6" ht="38" customHeight="1">
      <c r="A6" s="25" t="inlineStr">
        <is>
          <t>Business question 2</t>
        </is>
      </c>
      <c r="B6" s="24" t="inlineStr">
        <is>
          <t>Which scenarios recover estimated total costs within the assumed mission lifetime?</t>
        </is>
      </c>
    </row>
    <row r="7" ht="38" customHeight="1">
      <c r="A7" s="25" t="inlineStr">
        <is>
          <t>Business question 3</t>
        </is>
      </c>
      <c r="B7" s="24" t="inlineStr">
        <is>
          <t>How do mission class, lifetime, operating costs and revenue assumptions influence feasibility?</t>
        </is>
      </c>
    </row>
    <row r="8" ht="38" customHeight="1">
      <c r="A8" s="25" t="inlineStr">
        <is>
          <t>Total Cost</t>
        </is>
      </c>
      <c r="B8" s="24" t="inlineStr">
        <is>
          <t>Development Cost + Launch Cost + Integration Cost + Testing Cost + (Annual Operating Cost × Lifetime).</t>
        </is>
      </c>
    </row>
    <row r="9" ht="38" customHeight="1">
      <c r="A9" s="25" t="inlineStr">
        <is>
          <t>Total Revenue</t>
        </is>
      </c>
      <c r="B9" s="24" t="inlineStr">
        <is>
          <t>Annual Revenue × Mission Lifetime.</t>
        </is>
      </c>
    </row>
    <row r="10" ht="38" customHeight="1">
      <c r="A10" s="25" t="inlineStr">
        <is>
          <t>Net Profit</t>
        </is>
      </c>
      <c r="B10" s="24" t="inlineStr">
        <is>
          <t>Total Revenue − Total Cost.</t>
        </is>
      </c>
    </row>
    <row r="11" ht="38" customHeight="1">
      <c r="A11" s="25" t="inlineStr">
        <is>
          <t>ROI (%)</t>
        </is>
      </c>
      <c r="B11" s="24" t="inlineStr">
        <is>
          <t>(Net Profit ÷ Total Cost) × 100.</t>
        </is>
      </c>
    </row>
    <row r="12" ht="38" customHeight="1">
      <c r="A12" s="25" t="inlineStr">
        <is>
          <t>Break-even</t>
        </is>
      </c>
      <c r="B12" s="24" t="inlineStr">
        <is>
          <t>Total Cost ÷ Annual Revenue. A payback period longer than the mission lifetime is a warning sign.</t>
        </is>
      </c>
    </row>
    <row r="13" ht="38" customHeight="1">
      <c r="A13" s="25" t="inlineStr">
        <is>
          <t>Feasible rule</t>
        </is>
      </c>
      <c r="B13" s="24" t="inlineStr">
        <is>
          <t>ROI ≥ 35%, payback ≤ 70% of lifetime, and feasibility score ≥ 65.</t>
        </is>
      </c>
    </row>
    <row r="14" ht="38" customHeight="1">
      <c r="A14" s="25" t="inlineStr">
        <is>
          <t>Review rule</t>
        </is>
      </c>
      <c r="B14" s="24" t="inlineStr">
        <is>
          <t>If not Feasible, ROI ≥ 0% and feasibility score ≥ 55.</t>
        </is>
      </c>
    </row>
    <row r="15" ht="38" customHeight="1">
      <c r="A15" s="25" t="inlineStr">
        <is>
          <t>Not Feasible rule</t>
        </is>
      </c>
      <c r="B15" s="24" t="inlineStr">
        <is>
          <t>All remaining scenarios.</t>
        </is>
      </c>
    </row>
    <row r="16" ht="38" customHeight="1">
      <c r="A16" s="25" t="inlineStr">
        <is>
          <t>Limitations</t>
        </is>
      </c>
      <c r="B16" s="24" t="inlineStr">
        <is>
          <t>The model uses constructed assumptions rather than audited operator data or live launch quotes. Real missions require detailed engineering, insurance, regulatory, spectrum, ground-segment and customer-demand analysis.</t>
        </is>
      </c>
    </row>
    <row r="17" ht="38" customHeight="1">
      <c r="A17" s="25" t="inlineStr">
        <is>
          <t>Recommended next step</t>
        </is>
      </c>
      <c r="B17" s="24" t="inlineStr">
        <is>
          <t>Replace illustrative inputs with documented, cited sources; preserve source links and dates in a new Sources sheet before making real-world claims.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>
      <c r="A1" s="21" t="inlineStr">
        <is>
          <t>PROJECT SUBMISSION GUIDE</t>
        </is>
      </c>
    </row>
    <row r="3">
      <c r="A3" s="8" t="inlineStr">
        <is>
          <t>Field</t>
        </is>
      </c>
      <c r="B3" s="8" t="inlineStr">
        <is>
          <t>Details</t>
        </is>
      </c>
    </row>
    <row r="4" ht="48" customHeight="1">
      <c r="A4" s="25" t="inlineStr">
        <is>
          <t>Project Title</t>
        </is>
      </c>
      <c r="B4" s="24" t="inlineStr">
        <is>
          <t>CubeSat Mission Business Analytics: Launch Cost, Mission Feasibility &amp; ROI Analytics</t>
        </is>
      </c>
    </row>
    <row r="5" ht="48" customHeight="1">
      <c r="A5" s="25" t="inlineStr">
        <is>
          <t>Short Description</t>
        </is>
      </c>
      <c r="B5" s="24" t="inlineStr">
        <is>
          <t>An Excel-based business analytics model comparing 40 hypothetical CubeSat mission scenarios across 1U, 3U, 6U and 12U classes. It estimates cost, revenue, net profit, ROI, break-even, demand, risk and feasibility, with a dashboard for management-style comparison.</t>
        </is>
      </c>
    </row>
    <row r="6" ht="48" customHeight="1">
      <c r="A6" s="25" t="inlineStr">
        <is>
          <t>Student / Team</t>
        </is>
      </c>
      <c r="B6" s="24" t="inlineStr">
        <is>
          <t>Enter your name(s) and team members in your submission sheet or report.</t>
        </is>
      </c>
    </row>
    <row r="7" ht="48" customHeight="1">
      <c r="A7" s="25" t="inlineStr">
        <is>
          <t>GitHub repository</t>
        </is>
      </c>
      <c r="B7" s="24" t="inlineStr">
        <is>
          <t>Create a new public repository at https://github.com/new, e.g. cubesat-mission-business-analytics, then upload this workbook, CSV dataset and README file.</t>
        </is>
      </c>
    </row>
    <row r="8" ht="48" customHeight="1">
      <c r="A8" s="25" t="inlineStr">
        <is>
          <t>Suggested repository files</t>
        </is>
      </c>
      <c r="B8" s="24" t="inlineStr">
        <is>
          <t>CubeSat_Mission_Business_Analytics.xlsx; cubesat_scenario_data.csv; README.md</t>
        </is>
      </c>
    </row>
    <row r="9" ht="48" customHeight="1">
      <c r="A9" s="25" t="inlineStr">
        <is>
          <t>Important</t>
        </is>
      </c>
      <c r="B9" s="24" t="inlineStr">
        <is>
          <t>A repository has not been created automatically. After you create it and upload these files, copy the actual repository URL into your class Google Sheet.</t>
        </is>
      </c>
    </row>
    <row r="10" ht="48" customHeight="1">
      <c r="A10" s="25" t="inlineStr">
        <is>
          <t>Suggested sheet entry</t>
        </is>
      </c>
      <c r="B10" s="24" t="inlineStr">
        <is>
          <t>Title: CubeSat Mission Business Analytics: Launch Cost, Mission Feasibility &amp; ROI Analytics</t>
        </is>
      </c>
    </row>
    <row r="11" ht="48" customHeight="1">
      <c r="A11" s="25" t="inlineStr">
        <is>
          <t>Suggested sheet description</t>
        </is>
      </c>
      <c r="B11" s="24" t="inlineStr">
        <is>
          <t>Excel dashboard and 40-scenario dataset analyzing estimated CubeSat mission costs, revenue potential, ROI, break-even, risk/demand scores and feasibility across 1U, 3U, 6U and 12U satellite classes. Uses clearly labelled illustrative assumptions.</t>
        </is>
      </c>
    </row>
    <row r="12" ht="48" customHeight="1">
      <c r="A12" s="25" t="inlineStr">
        <is>
          <t>Data integrity note</t>
        </is>
      </c>
      <c r="B12" s="24" t="inlineStr">
        <is>
          <t>This workbook is a teaching model. Do not describe the generated scenario values as real industry data. Cite and document external sources if you replace assumptions with researched data.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Student Project - Educational Model</dc:creator>
  <dc:title xmlns:dc="http://purl.org/dc/elements/1.1/">CubeSat Mission Business Analytics</dc:title>
  <dc:description xmlns:dc="http://purl.org/dc/elements/1.1/">Illustrative scenario-based CubeSat business analytics workbook.</dc:description>
  <dc:subject xmlns:dc="http://purl.org/dc/elements/1.1/">Launch Cost, Mission Feasibility &amp; ROI Analytics</dc:subject>
  <dcterms:created xmlns:dcterms="http://purl.org/dc/terms/" xmlns:xsi="http://www.w3.org/2001/XMLSchema-instance" xsi:type="dcterms:W3CDTF">2026-10-13T04:31:53Z</dcterms:created>
  <dcterms:modified xmlns:dcterms="http://purl.org/dc/terms/" xmlns:xsi="http://www.w3.org/2001/XMLSchema-instance" xsi:type="dcterms:W3CDTF">2026-10-13T04:31:54Z</dcterms:modified>
</cp:coreProperties>
</file>